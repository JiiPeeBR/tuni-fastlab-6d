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BothSystems\Logical\Docs\"/>
    </mc:Choice>
  </mc:AlternateContent>
  <xr:revisionPtr revIDLastSave="0" documentId="13_ncr:1_{A5E36A2A-D6C9-4FFE-B0DE-8D2C0F923784}" xr6:coauthVersionLast="47" xr6:coauthVersionMax="47" xr10:uidLastSave="{00000000-0000-0000-0000-000000000000}"/>
  <workbookProtection workbookAlgorithmName="SHA-512" workbookHashValue="5yNGKWlrLOETdRov5fAbmugPsppOtGiVHZkCFUsN8ToGw1APaj1gHmcHsFwLZP8diBMa/+NSCk5rdjbFlu9ZMA==" workbookSaltValue="low7UQ1SSqqHuBki415kgg==" workbookSpinCount="100000" lockStructure="1"/>
  <bookViews>
    <workbookView xWindow="-120" yWindow="-120" windowWidth="29040" windowHeight="15720" activeTab="4" xr2:uid="{46888657-38C0-427F-B883-CBE5BC02BBB3}"/>
  </bookViews>
  <sheets>
    <sheet name="UserInput" sheetId="1" r:id="rId1"/>
    <sheet name="InternalConfig" sheetId="3" state="hidden" r:id="rId2"/>
    <sheet name="Input_Part" sheetId="6" state="hidden" r:id="rId3"/>
    <sheet name="Output_Part" sheetId="7" state="hidden" r:id="rId4"/>
    <sheet name="Result" sheetId="5" r:id="rId5"/>
  </sheets>
  <definedNames>
    <definedName name="AT">InternalConfig!$G$2</definedName>
    <definedName name="Bracket_close">InternalConfig!$F$2</definedName>
    <definedName name="Bracket_open">InternalConfig!$D$2</definedName>
    <definedName name="Dot">InternalConfig!$I$2</definedName>
    <definedName name="Dot_2">InternalConfig!$K$2</definedName>
    <definedName name="DoubleDot">InternalConfig!$B$2</definedName>
    <definedName name="Input_name">InternalConfig!$L$2</definedName>
    <definedName name="Input_sign">InternalConfig!$N$2</definedName>
    <definedName name="Input_syntax">InternalConfig!$L$2</definedName>
    <definedName name="InputVarName">InternalConfig!$C$1</definedName>
    <definedName name="Module_name">InternalConfig!$J$1</definedName>
    <definedName name="Module_name_2">InternalConfig!$J$2</definedName>
    <definedName name="NameInput">UserInput!$B$2</definedName>
    <definedName name="NameModule">UserInput!$B$5</definedName>
    <definedName name="NameOutput">UserInput!$B$3</definedName>
    <definedName name="Output_name">InternalConfig!$L$4</definedName>
    <definedName name="Output_sign">InternalConfig!$N$4</definedName>
    <definedName name="Output_word">InternalConfig!$P$4</definedName>
    <definedName name="OutputVarName">InternalConfig!$C$3</definedName>
    <definedName name="SemiColon">InternalConfig!$P$2</definedName>
    <definedName name="Sign_input">InternalConfig!$H$2</definedName>
    <definedName name="Sign_output">InternalConfig!$H$4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1" i="3"/>
  <c r="C17" i="6" s="1"/>
  <c r="C6" i="6"/>
  <c r="C30" i="6"/>
  <c r="C42" i="6"/>
  <c r="C78" i="6"/>
  <c r="C102" i="6"/>
  <c r="C114" i="6"/>
  <c r="C126" i="6"/>
  <c r="C150" i="6"/>
  <c r="C174" i="6"/>
  <c r="C185" i="6"/>
  <c r="C186" i="6"/>
  <c r="C198" i="6"/>
  <c r="C3" i="3"/>
  <c r="C1" i="3"/>
  <c r="B201" i="7"/>
  <c r="A201" i="7"/>
  <c r="A200" i="7"/>
  <c r="B200" i="7" s="1"/>
  <c r="B199" i="7"/>
  <c r="A199" i="7"/>
  <c r="A198" i="7"/>
  <c r="B198" i="7" s="1"/>
  <c r="A197" i="7"/>
  <c r="A196" i="7"/>
  <c r="B196" i="7" s="1"/>
  <c r="B195" i="7"/>
  <c r="A195" i="7"/>
  <c r="A194" i="7"/>
  <c r="B193" i="7"/>
  <c r="A193" i="7"/>
  <c r="A192" i="7"/>
  <c r="B192" i="7" s="1"/>
  <c r="B191" i="7"/>
  <c r="A191" i="7"/>
  <c r="A190" i="7"/>
  <c r="B190" i="7" s="1"/>
  <c r="B189" i="7"/>
  <c r="A189" i="7"/>
  <c r="A188" i="7"/>
  <c r="B188" i="7" s="1"/>
  <c r="B187" i="7"/>
  <c r="A187" i="7"/>
  <c r="A186" i="7"/>
  <c r="B185" i="7"/>
  <c r="A185" i="7"/>
  <c r="A184" i="7"/>
  <c r="B184" i="7" s="1"/>
  <c r="B183" i="7"/>
  <c r="A183" i="7"/>
  <c r="A182" i="7"/>
  <c r="B182" i="7" s="1"/>
  <c r="B181" i="7"/>
  <c r="A181" i="7"/>
  <c r="A180" i="7"/>
  <c r="B180" i="7" s="1"/>
  <c r="B179" i="7"/>
  <c r="A179" i="7"/>
  <c r="A178" i="7"/>
  <c r="B177" i="7"/>
  <c r="A177" i="7"/>
  <c r="A176" i="7"/>
  <c r="B176" i="7" s="1"/>
  <c r="B175" i="7"/>
  <c r="A175" i="7"/>
  <c r="A174" i="7"/>
  <c r="B174" i="7" s="1"/>
  <c r="B173" i="7"/>
  <c r="A173" i="7"/>
  <c r="A172" i="7"/>
  <c r="B172" i="7" s="1"/>
  <c r="B171" i="7"/>
  <c r="A171" i="7"/>
  <c r="A170" i="7"/>
  <c r="B169" i="7"/>
  <c r="A169" i="7"/>
  <c r="A168" i="7"/>
  <c r="B168" i="7" s="1"/>
  <c r="B167" i="7"/>
  <c r="A167" i="7"/>
  <c r="A166" i="7"/>
  <c r="B166" i="7" s="1"/>
  <c r="B165" i="7"/>
  <c r="A165" i="7"/>
  <c r="A164" i="7"/>
  <c r="B164" i="7" s="1"/>
  <c r="B163" i="7"/>
  <c r="A163" i="7"/>
  <c r="A162" i="7"/>
  <c r="B161" i="7"/>
  <c r="A161" i="7"/>
  <c r="A160" i="7"/>
  <c r="B160" i="7" s="1"/>
  <c r="B159" i="7"/>
  <c r="A159" i="7"/>
  <c r="A158" i="7"/>
  <c r="B158" i="7" s="1"/>
  <c r="B157" i="7"/>
  <c r="A157" i="7"/>
  <c r="A156" i="7"/>
  <c r="B156" i="7" s="1"/>
  <c r="B155" i="7"/>
  <c r="A155" i="7"/>
  <c r="A154" i="7"/>
  <c r="B153" i="7"/>
  <c r="A153" i="7"/>
  <c r="A152" i="7"/>
  <c r="B152" i="7" s="1"/>
  <c r="B151" i="7"/>
  <c r="A151" i="7"/>
  <c r="A150" i="7"/>
  <c r="B150" i="7" s="1"/>
  <c r="B149" i="7"/>
  <c r="A149" i="7"/>
  <c r="A148" i="7"/>
  <c r="B148" i="7" s="1"/>
  <c r="B147" i="7"/>
  <c r="A147" i="7"/>
  <c r="A146" i="7"/>
  <c r="B145" i="7"/>
  <c r="A145" i="7"/>
  <c r="A144" i="7"/>
  <c r="B144" i="7" s="1"/>
  <c r="B143" i="7"/>
  <c r="A143" i="7"/>
  <c r="A142" i="7"/>
  <c r="B142" i="7" s="1"/>
  <c r="B141" i="7"/>
  <c r="A141" i="7"/>
  <c r="A140" i="7"/>
  <c r="B140" i="7" s="1"/>
  <c r="B139" i="7"/>
  <c r="A139" i="7"/>
  <c r="A138" i="7"/>
  <c r="B137" i="7"/>
  <c r="A137" i="7"/>
  <c r="A136" i="7"/>
  <c r="B136" i="7" s="1"/>
  <c r="B135" i="7"/>
  <c r="A135" i="7"/>
  <c r="A134" i="7"/>
  <c r="B134" i="7" s="1"/>
  <c r="B133" i="7"/>
  <c r="A133" i="7"/>
  <c r="A132" i="7"/>
  <c r="B132" i="7" s="1"/>
  <c r="B131" i="7"/>
  <c r="A131" i="7"/>
  <c r="A130" i="7"/>
  <c r="B129" i="7"/>
  <c r="A129" i="7"/>
  <c r="A128" i="7"/>
  <c r="B128" i="7" s="1"/>
  <c r="B127" i="7"/>
  <c r="A127" i="7"/>
  <c r="A126" i="7"/>
  <c r="B126" i="7" s="1"/>
  <c r="B125" i="7"/>
  <c r="A125" i="7"/>
  <c r="A124" i="7"/>
  <c r="B124" i="7" s="1"/>
  <c r="B123" i="7"/>
  <c r="A123" i="7"/>
  <c r="A122" i="7"/>
  <c r="B121" i="7"/>
  <c r="A121" i="7"/>
  <c r="A120" i="7"/>
  <c r="B120" i="7" s="1"/>
  <c r="B119" i="7"/>
  <c r="A119" i="7"/>
  <c r="A118" i="7"/>
  <c r="B118" i="7" s="1"/>
  <c r="B117" i="7"/>
  <c r="A117" i="7"/>
  <c r="A116" i="7"/>
  <c r="B116" i="7" s="1"/>
  <c r="B115" i="7"/>
  <c r="A115" i="7"/>
  <c r="A114" i="7"/>
  <c r="B113" i="7"/>
  <c r="A113" i="7"/>
  <c r="A112" i="7"/>
  <c r="B112" i="7" s="1"/>
  <c r="B111" i="7"/>
  <c r="A111" i="7"/>
  <c r="A110" i="7"/>
  <c r="B110" i="7" s="1"/>
  <c r="B109" i="7"/>
  <c r="A109" i="7"/>
  <c r="A108" i="7"/>
  <c r="B108" i="7" s="1"/>
  <c r="B107" i="7"/>
  <c r="A107" i="7"/>
  <c r="A106" i="7"/>
  <c r="B105" i="7"/>
  <c r="A105" i="7"/>
  <c r="A104" i="7"/>
  <c r="B104" i="7" s="1"/>
  <c r="B103" i="7"/>
  <c r="A103" i="7"/>
  <c r="A102" i="7"/>
  <c r="B102" i="7" s="1"/>
  <c r="B101" i="7"/>
  <c r="A101" i="7"/>
  <c r="A100" i="7"/>
  <c r="B100" i="7" s="1"/>
  <c r="B99" i="7"/>
  <c r="A99" i="7"/>
  <c r="A98" i="7"/>
  <c r="B97" i="7"/>
  <c r="A97" i="7"/>
  <c r="A96" i="7"/>
  <c r="B96" i="7" s="1"/>
  <c r="B95" i="7"/>
  <c r="A95" i="7"/>
  <c r="A94" i="7"/>
  <c r="B94" i="7" s="1"/>
  <c r="B93" i="7"/>
  <c r="A93" i="7"/>
  <c r="A92" i="7"/>
  <c r="B92" i="7" s="1"/>
  <c r="B91" i="7"/>
  <c r="A91" i="7"/>
  <c r="A90" i="7"/>
  <c r="B89" i="7"/>
  <c r="A89" i="7"/>
  <c r="A88" i="7"/>
  <c r="B88" i="7" s="1"/>
  <c r="B87" i="7"/>
  <c r="A87" i="7"/>
  <c r="A86" i="7"/>
  <c r="B86" i="7" s="1"/>
  <c r="B85" i="7"/>
  <c r="A85" i="7"/>
  <c r="A84" i="7"/>
  <c r="B84" i="7" s="1"/>
  <c r="B83" i="7"/>
  <c r="A83" i="7"/>
  <c r="A82" i="7"/>
  <c r="B81" i="7"/>
  <c r="A81" i="7"/>
  <c r="A80" i="7"/>
  <c r="B80" i="7" s="1"/>
  <c r="B79" i="7"/>
  <c r="A79" i="7"/>
  <c r="A78" i="7"/>
  <c r="B78" i="7" s="1"/>
  <c r="B77" i="7"/>
  <c r="A77" i="7"/>
  <c r="A76" i="7"/>
  <c r="B76" i="7" s="1"/>
  <c r="B75" i="7"/>
  <c r="A75" i="7"/>
  <c r="A74" i="7"/>
  <c r="B73" i="7"/>
  <c r="A73" i="7"/>
  <c r="A72" i="7"/>
  <c r="B72" i="7" s="1"/>
  <c r="A71" i="7"/>
  <c r="B71" i="7" s="1"/>
  <c r="A70" i="7"/>
  <c r="B70" i="7" s="1"/>
  <c r="B69" i="7"/>
  <c r="A69" i="7"/>
  <c r="A68" i="7"/>
  <c r="B68" i="7" s="1"/>
  <c r="B67" i="7"/>
  <c r="A67" i="7"/>
  <c r="A66" i="7"/>
  <c r="B65" i="7"/>
  <c r="A65" i="7"/>
  <c r="A64" i="7"/>
  <c r="B64" i="7" s="1"/>
  <c r="A63" i="7"/>
  <c r="B63" i="7" s="1"/>
  <c r="A62" i="7"/>
  <c r="B62" i="7" s="1"/>
  <c r="B61" i="7"/>
  <c r="A61" i="7"/>
  <c r="A60" i="7"/>
  <c r="B60" i="7" s="1"/>
  <c r="B59" i="7"/>
  <c r="A59" i="7"/>
  <c r="A58" i="7"/>
  <c r="B57" i="7"/>
  <c r="A57" i="7"/>
  <c r="A56" i="7"/>
  <c r="B56" i="7" s="1"/>
  <c r="A55" i="7"/>
  <c r="B55" i="7" s="1"/>
  <c r="A54" i="7"/>
  <c r="B54" i="7" s="1"/>
  <c r="B53" i="7"/>
  <c r="A53" i="7"/>
  <c r="A52" i="7"/>
  <c r="B52" i="7" s="1"/>
  <c r="B51" i="7"/>
  <c r="A51" i="7"/>
  <c r="A50" i="7"/>
  <c r="B49" i="7"/>
  <c r="A49" i="7"/>
  <c r="A48" i="7"/>
  <c r="B48" i="7" s="1"/>
  <c r="A47" i="7"/>
  <c r="B47" i="7" s="1"/>
  <c r="A46" i="7"/>
  <c r="B46" i="7" s="1"/>
  <c r="B45" i="7"/>
  <c r="A45" i="7"/>
  <c r="A44" i="7"/>
  <c r="B43" i="7"/>
  <c r="A43" i="7"/>
  <c r="A42" i="7"/>
  <c r="B41" i="7"/>
  <c r="A41" i="7"/>
  <c r="A40" i="7"/>
  <c r="B40" i="7" s="1"/>
  <c r="A39" i="7"/>
  <c r="B39" i="7" s="1"/>
  <c r="A38" i="7"/>
  <c r="B38" i="7" s="1"/>
  <c r="B37" i="7"/>
  <c r="A37" i="7"/>
  <c r="A36" i="7"/>
  <c r="B35" i="7"/>
  <c r="A35" i="7"/>
  <c r="A34" i="7"/>
  <c r="B33" i="7"/>
  <c r="A33" i="7"/>
  <c r="A32" i="7"/>
  <c r="B32" i="7" s="1"/>
  <c r="A31" i="7"/>
  <c r="B31" i="7" s="1"/>
  <c r="A30" i="7"/>
  <c r="B30" i="7" s="1"/>
  <c r="B29" i="7"/>
  <c r="A29" i="7"/>
  <c r="A28" i="7"/>
  <c r="B28" i="7" s="1"/>
  <c r="B27" i="7"/>
  <c r="A27" i="7"/>
  <c r="A26" i="7"/>
  <c r="B25" i="7"/>
  <c r="A25" i="7"/>
  <c r="A24" i="7"/>
  <c r="B24" i="7" s="1"/>
  <c r="A23" i="7"/>
  <c r="B23" i="7" s="1"/>
  <c r="A22" i="7"/>
  <c r="B22" i="7" s="1"/>
  <c r="B21" i="7"/>
  <c r="A21" i="7"/>
  <c r="A20" i="7"/>
  <c r="B20" i="7" s="1"/>
  <c r="B19" i="7"/>
  <c r="A19" i="7"/>
  <c r="A18" i="7"/>
  <c r="B17" i="7"/>
  <c r="A17" i="7"/>
  <c r="A16" i="7"/>
  <c r="B16" i="7" s="1"/>
  <c r="A15" i="7"/>
  <c r="B15" i="7" s="1"/>
  <c r="A14" i="7"/>
  <c r="B14" i="7" s="1"/>
  <c r="B13" i="7"/>
  <c r="A13" i="7"/>
  <c r="A12" i="7"/>
  <c r="B12" i="7" s="1"/>
  <c r="B11" i="7"/>
  <c r="A11" i="7"/>
  <c r="A10" i="7"/>
  <c r="B9" i="7"/>
  <c r="A9" i="7"/>
  <c r="A8" i="7"/>
  <c r="B8" i="7" s="1"/>
  <c r="A7" i="7"/>
  <c r="B7" i="7" s="1"/>
  <c r="A6" i="7"/>
  <c r="B6" i="7" s="1"/>
  <c r="B5" i="7"/>
  <c r="A5" i="7"/>
  <c r="A4" i="7"/>
  <c r="B3" i="7"/>
  <c r="A3" i="7"/>
  <c r="A2" i="7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A201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2" i="6"/>
  <c r="A3" i="6"/>
  <c r="A4" i="6"/>
  <c r="A5" i="6"/>
  <c r="A6" i="6"/>
  <c r="A7" i="6"/>
  <c r="A8" i="6"/>
  <c r="A9" i="6"/>
  <c r="A10" i="6"/>
  <c r="A11" i="6"/>
  <c r="C149" i="6" l="1"/>
  <c r="C77" i="6"/>
  <c r="C5" i="6"/>
  <c r="C7" i="6"/>
  <c r="C138" i="6"/>
  <c r="C66" i="6"/>
  <c r="C4" i="6"/>
  <c r="C96" i="7"/>
  <c r="C137" i="6"/>
  <c r="C65" i="6"/>
  <c r="C3" i="6"/>
  <c r="C54" i="6"/>
  <c r="C197" i="6"/>
  <c r="C125" i="6"/>
  <c r="C53" i="6"/>
  <c r="C113" i="6"/>
  <c r="C41" i="6"/>
  <c r="C29" i="6"/>
  <c r="C173" i="6"/>
  <c r="C162" i="6"/>
  <c r="C90" i="6"/>
  <c r="C18" i="6"/>
  <c r="C101" i="6"/>
  <c r="C161" i="6"/>
  <c r="C89" i="6"/>
  <c r="C191" i="7"/>
  <c r="C127" i="7"/>
  <c r="C157" i="7"/>
  <c r="C189" i="7"/>
  <c r="C188" i="7"/>
  <c r="C187" i="7"/>
  <c r="C193" i="7"/>
  <c r="C181" i="7"/>
  <c r="C163" i="7"/>
  <c r="C133" i="7"/>
  <c r="C93" i="7"/>
  <c r="C192" i="7"/>
  <c r="C180" i="7"/>
  <c r="C161" i="7"/>
  <c r="C131" i="7"/>
  <c r="C88" i="7"/>
  <c r="C77" i="7"/>
  <c r="C201" i="7"/>
  <c r="C72" i="7"/>
  <c r="C200" i="7"/>
  <c r="C62" i="7"/>
  <c r="C199" i="7"/>
  <c r="C56" i="7"/>
  <c r="C198" i="7"/>
  <c r="C186" i="7"/>
  <c r="C173" i="7"/>
  <c r="C147" i="7"/>
  <c r="C115" i="7"/>
  <c r="C53" i="7"/>
  <c r="C197" i="7"/>
  <c r="C185" i="7"/>
  <c r="C171" i="7"/>
  <c r="C143" i="7"/>
  <c r="C111" i="7"/>
  <c r="C38" i="7"/>
  <c r="C179" i="7"/>
  <c r="C190" i="7"/>
  <c r="C123" i="7"/>
  <c r="C176" i="7"/>
  <c r="C175" i="7"/>
  <c r="C196" i="7"/>
  <c r="C184" i="7"/>
  <c r="C169" i="7"/>
  <c r="C141" i="7"/>
  <c r="C109" i="7"/>
  <c r="C30" i="7"/>
  <c r="C159" i="7"/>
  <c r="C178" i="7"/>
  <c r="C177" i="7"/>
  <c r="C151" i="7"/>
  <c r="C149" i="7"/>
  <c r="C183" i="7"/>
  <c r="C167" i="7"/>
  <c r="C139" i="7"/>
  <c r="C3" i="7"/>
  <c r="C80" i="7"/>
  <c r="C125" i="7"/>
  <c r="C155" i="7"/>
  <c r="C119" i="7"/>
  <c r="C117" i="7"/>
  <c r="C195" i="7"/>
  <c r="C104" i="7"/>
  <c r="C194" i="7"/>
  <c r="C182" i="7"/>
  <c r="C165" i="7"/>
  <c r="C135" i="7"/>
  <c r="C172" i="6"/>
  <c r="C88" i="6"/>
  <c r="C16" i="6"/>
  <c r="C171" i="6"/>
  <c r="C159" i="6"/>
  <c r="C147" i="6"/>
  <c r="C135" i="6"/>
  <c r="C123" i="6"/>
  <c r="C111" i="6"/>
  <c r="C99" i="6"/>
  <c r="C87" i="6"/>
  <c r="C63" i="6"/>
  <c r="C39" i="6"/>
  <c r="C27" i="6"/>
  <c r="C15" i="6"/>
  <c r="C194" i="6"/>
  <c r="C182" i="6"/>
  <c r="C170" i="6"/>
  <c r="C158" i="6"/>
  <c r="C146" i="6"/>
  <c r="C134" i="6"/>
  <c r="C122" i="6"/>
  <c r="C110" i="6"/>
  <c r="C98" i="6"/>
  <c r="C86" i="6"/>
  <c r="C74" i="6"/>
  <c r="C62" i="6"/>
  <c r="C50" i="6"/>
  <c r="C38" i="6"/>
  <c r="C26" i="6"/>
  <c r="C14" i="6"/>
  <c r="C2" i="6"/>
  <c r="C124" i="6"/>
  <c r="C52" i="6"/>
  <c r="C51" i="6"/>
  <c r="C193" i="6"/>
  <c r="C181" i="6"/>
  <c r="C169" i="6"/>
  <c r="C157" i="6"/>
  <c r="C145" i="6"/>
  <c r="C133" i="6"/>
  <c r="C121" i="6"/>
  <c r="C109" i="6"/>
  <c r="C97" i="6"/>
  <c r="C85" i="6"/>
  <c r="C73" i="6"/>
  <c r="C61" i="6"/>
  <c r="C49" i="6"/>
  <c r="C37" i="6"/>
  <c r="C25" i="6"/>
  <c r="C13" i="6"/>
  <c r="C160" i="6"/>
  <c r="C100" i="6"/>
  <c r="C28" i="6"/>
  <c r="C75" i="6"/>
  <c r="C192" i="6"/>
  <c r="C180" i="6"/>
  <c r="C168" i="6"/>
  <c r="C156" i="6"/>
  <c r="C144" i="6"/>
  <c r="C132" i="6"/>
  <c r="C120" i="6"/>
  <c r="C108" i="6"/>
  <c r="C96" i="6"/>
  <c r="C84" i="6"/>
  <c r="C72" i="6"/>
  <c r="C60" i="6"/>
  <c r="C48" i="6"/>
  <c r="C36" i="6"/>
  <c r="C24" i="6"/>
  <c r="C12" i="6"/>
  <c r="C191" i="6"/>
  <c r="C179" i="6"/>
  <c r="C167" i="6"/>
  <c r="C155" i="6"/>
  <c r="C143" i="6"/>
  <c r="C131" i="6"/>
  <c r="C119" i="6"/>
  <c r="C107" i="6"/>
  <c r="C95" i="6"/>
  <c r="C83" i="6"/>
  <c r="C71" i="6"/>
  <c r="C59" i="6"/>
  <c r="C47" i="6"/>
  <c r="C35" i="6"/>
  <c r="C23" i="6"/>
  <c r="C11" i="6"/>
  <c r="C190" i="6"/>
  <c r="C178" i="6"/>
  <c r="C166" i="6"/>
  <c r="C154" i="6"/>
  <c r="C142" i="6"/>
  <c r="C130" i="6"/>
  <c r="C118" i="6"/>
  <c r="C106" i="6"/>
  <c r="C94" i="6"/>
  <c r="C82" i="6"/>
  <c r="C70" i="6"/>
  <c r="C58" i="6"/>
  <c r="C46" i="6"/>
  <c r="C34" i="6"/>
  <c r="C22" i="6"/>
  <c r="C10" i="6"/>
  <c r="C196" i="6"/>
  <c r="C136" i="6"/>
  <c r="C64" i="6"/>
  <c r="C183" i="6"/>
  <c r="C201" i="6"/>
  <c r="C189" i="6"/>
  <c r="C177" i="6"/>
  <c r="C165" i="6"/>
  <c r="C153" i="6"/>
  <c r="C141" i="6"/>
  <c r="C129" i="6"/>
  <c r="C117" i="6"/>
  <c r="C105" i="6"/>
  <c r="C93" i="6"/>
  <c r="C81" i="6"/>
  <c r="C69" i="6"/>
  <c r="C57" i="6"/>
  <c r="C45" i="6"/>
  <c r="C33" i="6"/>
  <c r="C21" i="6"/>
  <c r="C9" i="6"/>
  <c r="C112" i="6"/>
  <c r="C40" i="6"/>
  <c r="C200" i="6"/>
  <c r="C188" i="6"/>
  <c r="C176" i="6"/>
  <c r="C164" i="6"/>
  <c r="C152" i="6"/>
  <c r="C140" i="6"/>
  <c r="C128" i="6"/>
  <c r="C116" i="6"/>
  <c r="C104" i="6"/>
  <c r="C92" i="6"/>
  <c r="C80" i="6"/>
  <c r="C68" i="6"/>
  <c r="C56" i="6"/>
  <c r="C44" i="6"/>
  <c r="C32" i="6"/>
  <c r="C20" i="6"/>
  <c r="C8" i="6"/>
  <c r="C184" i="6"/>
  <c r="C148" i="6"/>
  <c r="C76" i="6"/>
  <c r="C195" i="6"/>
  <c r="C199" i="6"/>
  <c r="C187" i="6"/>
  <c r="C175" i="6"/>
  <c r="C163" i="6"/>
  <c r="C151" i="6"/>
  <c r="C139" i="6"/>
  <c r="C127" i="6"/>
  <c r="C115" i="6"/>
  <c r="C103" i="6"/>
  <c r="C91" i="6"/>
  <c r="C79" i="6"/>
  <c r="C67" i="6"/>
  <c r="C55" i="6"/>
  <c r="C43" i="6"/>
  <c r="C31" i="6"/>
  <c r="C19" i="6"/>
  <c r="C172" i="7"/>
  <c r="C164" i="7"/>
  <c r="C156" i="7"/>
  <c r="C148" i="7"/>
  <c r="C140" i="7"/>
  <c r="C132" i="7"/>
  <c r="C124" i="7"/>
  <c r="C116" i="7"/>
  <c r="C106" i="7"/>
  <c r="C90" i="7"/>
  <c r="C74" i="7"/>
  <c r="C54" i="7"/>
  <c r="C24" i="7"/>
  <c r="C22" i="7"/>
  <c r="C170" i="7"/>
  <c r="C162" i="7"/>
  <c r="C154" i="7"/>
  <c r="C146" i="7"/>
  <c r="C138" i="7"/>
  <c r="C130" i="7"/>
  <c r="C122" i="7"/>
  <c r="C114" i="7"/>
  <c r="C102" i="7"/>
  <c r="C86" i="7"/>
  <c r="C70" i="7"/>
  <c r="C48" i="7"/>
  <c r="C16" i="7"/>
  <c r="C153" i="7"/>
  <c r="C145" i="7"/>
  <c r="C137" i="7"/>
  <c r="C129" i="7"/>
  <c r="C121" i="7"/>
  <c r="C113" i="7"/>
  <c r="C101" i="7"/>
  <c r="C85" i="7"/>
  <c r="C69" i="7"/>
  <c r="C46" i="7"/>
  <c r="C14" i="7"/>
  <c r="C168" i="7"/>
  <c r="C160" i="7"/>
  <c r="C152" i="7"/>
  <c r="C144" i="7"/>
  <c r="C136" i="7"/>
  <c r="C128" i="7"/>
  <c r="C120" i="7"/>
  <c r="C112" i="7"/>
  <c r="C98" i="7"/>
  <c r="C82" i="7"/>
  <c r="C64" i="7"/>
  <c r="C40" i="7"/>
  <c r="C6" i="7"/>
  <c r="C174" i="7"/>
  <c r="C166" i="7"/>
  <c r="C158" i="7"/>
  <c r="C150" i="7"/>
  <c r="C142" i="7"/>
  <c r="C134" i="7"/>
  <c r="C126" i="7"/>
  <c r="C118" i="7"/>
  <c r="C110" i="7"/>
  <c r="C94" i="7"/>
  <c r="C78" i="7"/>
  <c r="C61" i="7"/>
  <c r="C32" i="7"/>
  <c r="C108" i="7"/>
  <c r="C100" i="7"/>
  <c r="C92" i="7"/>
  <c r="C84" i="7"/>
  <c r="C76" i="7"/>
  <c r="C68" i="7"/>
  <c r="C60" i="7"/>
  <c r="C52" i="7"/>
  <c r="C44" i="7"/>
  <c r="C36" i="7"/>
  <c r="C28" i="7"/>
  <c r="C20" i="7"/>
  <c r="C12" i="7"/>
  <c r="C107" i="7"/>
  <c r="C99" i="7"/>
  <c r="C91" i="7"/>
  <c r="C83" i="7"/>
  <c r="C75" i="7"/>
  <c r="C67" i="7"/>
  <c r="C59" i="7"/>
  <c r="C51" i="7"/>
  <c r="C43" i="7"/>
  <c r="C35" i="7"/>
  <c r="C27" i="7"/>
  <c r="C19" i="7"/>
  <c r="C11" i="7"/>
  <c r="C66" i="7"/>
  <c r="C58" i="7"/>
  <c r="C50" i="7"/>
  <c r="C42" i="7"/>
  <c r="C34" i="7"/>
  <c r="C26" i="7"/>
  <c r="C18" i="7"/>
  <c r="C10" i="7"/>
  <c r="C105" i="7"/>
  <c r="C97" i="7"/>
  <c r="C89" i="7"/>
  <c r="C81" i="7"/>
  <c r="C73" i="7"/>
  <c r="C65" i="7"/>
  <c r="C57" i="7"/>
  <c r="C49" i="7"/>
  <c r="C41" i="7"/>
  <c r="C33" i="7"/>
  <c r="C25" i="7"/>
  <c r="C17" i="7"/>
  <c r="C9" i="7"/>
  <c r="C103" i="7"/>
  <c r="C95" i="7"/>
  <c r="C87" i="7"/>
  <c r="C79" i="7"/>
  <c r="C71" i="7"/>
  <c r="C63" i="7"/>
  <c r="C55" i="7"/>
  <c r="C47" i="7"/>
  <c r="C39" i="7"/>
  <c r="C31" i="7"/>
  <c r="C23" i="7"/>
  <c r="C15" i="7"/>
  <c r="C2" i="7"/>
  <c r="C45" i="7"/>
  <c r="C37" i="7"/>
  <c r="C29" i="7"/>
  <c r="C21" i="7"/>
  <c r="C13" i="7"/>
  <c r="C8" i="7"/>
  <c r="C7" i="7"/>
  <c r="C5" i="7"/>
  <c r="C4" i="7"/>
  <c r="B4" i="7"/>
  <c r="B36" i="7"/>
  <c r="B2" i="7"/>
  <c r="B10" i="7"/>
  <c r="B18" i="7"/>
  <c r="B26" i="7"/>
  <c r="B34" i="7"/>
  <c r="B42" i="7"/>
  <c r="B50" i="7"/>
  <c r="B58" i="7"/>
  <c r="B66" i="7"/>
  <c r="B74" i="7"/>
  <c r="B82" i="7"/>
  <c r="B90" i="7"/>
  <c r="B98" i="7"/>
  <c r="B106" i="7"/>
  <c r="B114" i="7"/>
  <c r="B122" i="7"/>
  <c r="B130" i="7"/>
  <c r="B138" i="7"/>
  <c r="B146" i="7"/>
  <c r="B154" i="7"/>
  <c r="B162" i="7"/>
  <c r="B170" i="7"/>
  <c r="B178" i="7"/>
  <c r="B186" i="7"/>
  <c r="B194" i="7"/>
  <c r="B44" i="7"/>
  <c r="B197" i="7"/>
  <c r="A201" i="5" l="1" a="1"/>
  <c r="A201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<sst xmlns="http://schemas.openxmlformats.org/spreadsheetml/2006/main" count="50" uniqueCount="34">
  <si>
    <t xml:space="preserve"> </t>
  </si>
  <si>
    <t>Input String</t>
  </si>
  <si>
    <t>Output String</t>
  </si>
  <si>
    <t>::</t>
  </si>
  <si>
    <t>InputVarName</t>
  </si>
  <si>
    <t>Index</t>
  </si>
  <si>
    <t>]</t>
  </si>
  <si>
    <t xml:space="preserve"> AT</t>
  </si>
  <si>
    <t>EPL_FB_IN_</t>
  </si>
  <si>
    <t>_I2007_S</t>
  </si>
  <si>
    <t>Index+1 in HEX</t>
  </si>
  <si>
    <t>OutputVarName</t>
  </si>
  <si>
    <t>EPL_FB_OUT_</t>
  </si>
  <si>
    <t>_I2008_S</t>
  </si>
  <si>
    <t>Out</t>
  </si>
  <si>
    <t>Zeilennummer</t>
  </si>
  <si>
    <t>Zeilennummer (HEX)</t>
  </si>
  <si>
    <t>Inputstrings</t>
  </si>
  <si>
    <t>;</t>
  </si>
  <si>
    <t>Name of Input variable:</t>
  </si>
  <si>
    <t>Name of Output variable:</t>
  </si>
  <si>
    <t>(e.g. gCommIN)</t>
  </si>
  <si>
    <t>(e.g. gCommOUT)</t>
  </si>
  <si>
    <t xml:space="preserve"> %IW</t>
  </si>
  <si>
    <t xml:space="preserve"> %QW</t>
  </si>
  <si>
    <t>Name of ACOPOS 6D controller module:</t>
  </si>
  <si>
    <t>(default: 8YFLM01.0000.00I-1)</t>
  </si>
  <si>
    <t>."</t>
  </si>
  <si>
    <t>".</t>
  </si>
  <si>
    <t>ModuleName</t>
  </si>
  <si>
    <t>.Array[</t>
  </si>
  <si>
    <t>gCommInput</t>
  </si>
  <si>
    <t>gCommOutput</t>
  </si>
  <si>
    <t>8FLM01.0000.00I-1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</si>
</sst>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76200</xdr:rowOff>
    </xdr:from>
    <xdr:to>
      <xdr:col>0</xdr:col>
      <xdr:colOff>2523809</xdr:colOff>
      <xdr:row>12</xdr:row>
      <xdr:rowOff>190319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5357804-54D8-4C32-BC2E-1079E9A4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28700"/>
          <a:ext cx="2523809" cy="144761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4CB45-E8A7-4213-8007-181D7C478AB8}" name="Tabelle2" displayName="Tabelle2" ref="A1:C201" totalsRowShown="0">
  <autoFilter ref="A1:C201" xr:uid="{3963D20C-6C81-4733-89D4-FB0B9EE375F1}"/>
  <tableColumns count="3">
    <tableColumn id="1" xr3:uid="{2D19DF04-BB5C-417E-AECD-115B8462E75A}" name="Zeilennummer" dataDxfId="5">
      <calculatedColumnFormula>ROW()-2</calculatedColumnFormula>
    </tableColumn>
    <tableColumn id="2" xr3:uid="{0B26C25E-34B7-442C-B334-35A0BEFC26B4}" name="Zeilennummer (HEX)" dataDxfId="4">
      <calculatedColumnFormula>DEC2HEX(Tabelle2[[#This Row],[Zeilennummer]]+1,2)</calculatedColumnFormula>
    </tableColumn>
    <tableColumn id="3" xr3:uid="{71D11A0E-4A7E-44C7-8284-E9517F05A11E}" name="Inputstrings" dataDxfId="3">
      <calculatedColumnFormula>CONCATENATE(DoubleDot,InputVarName,Bracket_open,Tabelle2[[#This Row],[Zeilennummer]],Bracket_close,AT,Sign_input,Dot,Module_name,Dot_2,Input_name,Tabelle2[[#This Row],[Zeilennummer]],Input_sign,Tabelle2[[#This Row],[Zeilennummer (HEX)]],SemiColon)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4C544C-5B1B-4B00-8A72-FF4E776AB88B}" name="Tabelle24" displayName="Tabelle24" ref="A1:C201" totalsRowShown="0">
  <autoFilter ref="A1:C201" xr:uid="{C84261DA-F3BE-4B18-853F-833186318DFE}"/>
  <tableColumns count="3">
    <tableColumn id="1" xr3:uid="{350D3DB2-02B1-4F30-B26F-0190A58F2FB1}" name="Zeilennummer" dataDxfId="2">
      <calculatedColumnFormula>ROW()-2</calculatedColumnFormula>
    </tableColumn>
    <tableColumn id="2" xr3:uid="{700EB2CA-7346-433F-A43B-655344D1D0DB}" name="Zeilennummer (HEX)" dataDxfId="1">
      <calculatedColumnFormula>DEC2HEX(Tabelle24[[#This Row],[Zeilennummer]]+1,2)</calculatedColumnFormula>
    </tableColumn>
    <tableColumn id="3" xr3:uid="{043E94D0-A450-4FA7-AA6D-F45AD4B78BE4}" name="Inputstrings" dataDxfId="0">
      <calculatedColumnFormula>CONCATENATE(DoubleDot,OutputVarName,Bracket_open,Tabelle24[[#This Row],[Zeilennummer]],Bracket_close,AT,Sign_output,Dot,Module_name,Dot_2,Output_name,Tabelle24[[#This Row],[Zeilennummer]],Output_sign,Tabelle24[[#This Row],[Zeilennummer (HEX)]],Output_word,SemiColon)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70EC4-3B76-4446-BD64-103741304407}">
  <dimension ref="A2:C5"/>
  <sheetViews>
    <sheetView workbookViewId="0">
      <selection activeCell="B2" sqref="B2"/>
    </sheetView>
  </sheetViews>
  <sheetFormatPr defaultColWidth="11.42578125" defaultRowHeight="15" x14ac:dyDescent="0.25"/>
  <cols>
    <col min="1" max="1" width="38.28515625" customWidth="1"/>
    <col min="2" max="2" width="23.42578125" customWidth="1"/>
    <col min="3" max="3" width="27.28515625" bestFit="1" customWidth="1"/>
  </cols>
  <sheetData>
    <row r="2" spans="1:3" x14ac:dyDescent="0.25">
      <c r="A2" s="3" t="s">
        <v>19</v>
      </c>
      <c r="B2" s="2" t="s">
        <v>31</v>
      </c>
      <c r="C2" t="s">
        <v>21</v>
      </c>
    </row>
    <row r="3" spans="1:3" x14ac:dyDescent="0.25">
      <c r="A3" s="3" t="s">
        <v>20</v>
      </c>
      <c r="B3" s="2" t="s">
        <v>32</v>
      </c>
      <c r="C3" t="s">
        <v>22</v>
      </c>
    </row>
    <row r="4" spans="1:3" x14ac:dyDescent="0.25">
      <c r="A4" s="4"/>
    </row>
    <row r="5" spans="1:3" x14ac:dyDescent="0.25">
      <c r="A5" s="3" t="s">
        <v>25</v>
      </c>
      <c r="B5" s="2" t="s">
        <v>33</v>
      </c>
      <c r="C5" t="s">
        <v>26</v>
      </c>
    </row>
  </sheetData>
  <sheetProtection algorithmName="SHA-512" hashValue="rf3TKgw6ezFVnsGFELarwEFCbIYM2+vG/lnCPefE0pc0R1grjFSwYsuVUay7yogMQdCovz2IPbd4wDFbb9kYJw==" saltValue="HJuus9ipgTKjT6O+4MEz2w==" spinCount="100000" sheet="1" objects="1" scenarios="1" selectLockedCells="1"/>
  <pageMargins left="0.7" right="0.7" top="0.78740157499999996" bottom="0.78740157499999996" header="0.3" footer="0.3"/>
  <pageSetup orientation="portrait" r:id="rId1"/>
  <headerFooter>
    <oddHeader>&amp;R&amp;"Calibri"&amp;11&amp;K000000 TUNI Luottamuksellinen - Confidential (3Y)&amp;1#_x000D_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6D69-E259-4B5D-92FB-C83299CF7ED2}">
  <dimension ref="A1:Q7"/>
  <sheetViews>
    <sheetView workbookViewId="0">
      <selection activeCell="D5" sqref="D5"/>
    </sheetView>
  </sheetViews>
  <sheetFormatPr defaultColWidth="11.42578125" defaultRowHeight="15" x14ac:dyDescent="0.25"/>
  <cols>
    <col min="1" max="1" width="12.85546875" bestFit="1" customWidth="1"/>
    <col min="2" max="2" width="2.140625" bestFit="1" customWidth="1"/>
    <col min="3" max="3" width="15.5703125" bestFit="1" customWidth="1"/>
    <col min="4" max="4" width="7" bestFit="1" customWidth="1"/>
    <col min="5" max="5" width="6" bestFit="1" customWidth="1"/>
    <col min="6" max="6" width="1.7109375" bestFit="1" customWidth="1"/>
    <col min="7" max="7" width="3.7109375" bestFit="1" customWidth="1"/>
    <col min="8" max="8" width="5.85546875" bestFit="1" customWidth="1"/>
    <col min="9" max="9" width="2.42578125" bestFit="1" customWidth="1"/>
    <col min="10" max="10" width="18.140625" bestFit="1" customWidth="1"/>
    <col min="11" max="11" width="2.42578125" bestFit="1" customWidth="1"/>
    <col min="12" max="12" width="12.85546875" bestFit="1" customWidth="1"/>
    <col min="13" max="13" width="6" bestFit="1" customWidth="1"/>
    <col min="14" max="14" width="8.5703125" bestFit="1" customWidth="1"/>
    <col min="15" max="15" width="14" bestFit="1" customWidth="1"/>
  </cols>
  <sheetData>
    <row r="1" spans="1:17" x14ac:dyDescent="0.25">
      <c r="C1" t="str">
        <f>NameInput</f>
        <v>gCommInput</v>
      </c>
      <c r="J1" t="str">
        <f>NameModule</f>
        <v>8FLM01.0000.00I-1</v>
      </c>
    </row>
    <row r="2" spans="1:17" x14ac:dyDescent="0.25">
      <c r="A2" t="s">
        <v>1</v>
      </c>
      <c r="B2" t="s">
        <v>3</v>
      </c>
      <c r="C2" s="1" t="s">
        <v>4</v>
      </c>
      <c r="D2" t="s">
        <v>30</v>
      </c>
      <c r="E2" s="1" t="s">
        <v>5</v>
      </c>
      <c r="F2" t="s">
        <v>6</v>
      </c>
      <c r="G2" t="s">
        <v>7</v>
      </c>
      <c r="H2" t="s">
        <v>23</v>
      </c>
      <c r="I2" t="s">
        <v>27</v>
      </c>
      <c r="J2" s="1" t="s">
        <v>29</v>
      </c>
      <c r="K2" t="s">
        <v>28</v>
      </c>
      <c r="L2" t="s">
        <v>8</v>
      </c>
      <c r="M2" s="1" t="s">
        <v>5</v>
      </c>
      <c r="N2" t="s">
        <v>9</v>
      </c>
      <c r="O2" s="1" t="s">
        <v>10</v>
      </c>
      <c r="P2" t="s">
        <v>18</v>
      </c>
    </row>
    <row r="3" spans="1:17" x14ac:dyDescent="0.25">
      <c r="C3" t="str">
        <f>NameOutput</f>
        <v>gCommOutput</v>
      </c>
      <c r="J3" t="str">
        <f>NameModule</f>
        <v>8FLM01.0000.00I-1</v>
      </c>
    </row>
    <row r="4" spans="1:17" x14ac:dyDescent="0.25">
      <c r="A4" t="s">
        <v>2</v>
      </c>
      <c r="B4" t="s">
        <v>3</v>
      </c>
      <c r="C4" s="1" t="s">
        <v>11</v>
      </c>
      <c r="D4" t="s">
        <v>30</v>
      </c>
      <c r="E4" s="1" t="s">
        <v>5</v>
      </c>
      <c r="F4" t="s">
        <v>6</v>
      </c>
      <c r="G4" t="s">
        <v>7</v>
      </c>
      <c r="H4" t="s">
        <v>24</v>
      </c>
      <c r="I4" t="s">
        <v>27</v>
      </c>
      <c r="J4" s="1" t="s">
        <v>29</v>
      </c>
      <c r="K4" t="s">
        <v>28</v>
      </c>
      <c r="L4" t="s">
        <v>12</v>
      </c>
      <c r="M4" s="1" t="s">
        <v>5</v>
      </c>
      <c r="N4" t="s">
        <v>13</v>
      </c>
      <c r="O4" s="1" t="s">
        <v>10</v>
      </c>
      <c r="P4" t="s">
        <v>14</v>
      </c>
      <c r="Q4" s="1" t="s">
        <v>18</v>
      </c>
    </row>
    <row r="7" spans="1:17" x14ac:dyDescent="0.25">
      <c r="J7" t="s">
        <v>0</v>
      </c>
      <c r="K7" t="s">
        <v>0</v>
      </c>
    </row>
  </sheetData>
  <pageMargins left="0.7" right="0.7" top="0.78740157499999996" bottom="0.78740157499999996" header="0.3" footer="0.3"/>
  <pageSetup orientation="portrait" r:id="rId1"/>
  <headerFooter>
    <oddHeader>&amp;R&amp;"Calibri"&amp;11&amp;K000000 TUNI Luottamuksellinen - Confidential (3Y)&amp;1#_x000D_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8AFF-4AAF-4E6F-B37A-77E5C286C718}">
  <dimension ref="A1:C201"/>
  <sheetViews>
    <sheetView workbookViewId="0">
      <selection activeCell="G27" sqref="G27"/>
    </sheetView>
  </sheetViews>
  <sheetFormatPr defaultColWidth="11.42578125" defaultRowHeight="15" x14ac:dyDescent="0.25"/>
  <cols>
    <col min="1" max="1" width="16.28515625" customWidth="1"/>
    <col min="2" max="2" width="21.85546875" bestFit="1" customWidth="1"/>
    <col min="3" max="3" width="70.57031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>
        <f t="shared" ref="A2:A11" si="0">ROW()-2</f>
        <v>0</v>
      </c>
      <c r="B2" t="str">
        <f>DEC2HEX(Tabelle2[[#This Row],[Zeilennummer]]+1,2)</f>
        <v>01</v>
      </c>
      <c r="C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::gCommInput.Array[0] AT %IW."8FLM01.0000.00I-1".EPL_FB_IN_0_I2007_S01;</v>
      </c>
    </row>
    <row r="3" spans="1:3" x14ac:dyDescent="0.25">
      <c r="A3">
        <f t="shared" si="0"/>
        <v>1</v>
      </c>
      <c r="B3" t="str">
        <f>DEC2HEX(Tabelle2[[#This Row],[Zeilennummer]]+1,2)</f>
        <v>02</v>
      </c>
      <c r="C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::gCommInput.Array[1] AT %IW."8FLM01.0000.00I-1".EPL_FB_IN_1_I2007_S02;</v>
      </c>
    </row>
    <row r="4" spans="1:3" x14ac:dyDescent="0.25">
      <c r="A4">
        <f t="shared" si="0"/>
        <v>2</v>
      </c>
      <c r="B4" t="str">
        <f>DEC2HEX(Tabelle2[[#This Row],[Zeilennummer]]+1,2)</f>
        <v>03</v>
      </c>
      <c r="C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::gCommInput.Array[2] AT %IW."8FLM01.0000.00I-1".EPL_FB_IN_2_I2007_S03;</v>
      </c>
    </row>
    <row r="5" spans="1:3" x14ac:dyDescent="0.25">
      <c r="A5">
        <f t="shared" si="0"/>
        <v>3</v>
      </c>
      <c r="B5" t="str">
        <f>DEC2HEX(Tabelle2[[#This Row],[Zeilennummer]]+1,2)</f>
        <v>04</v>
      </c>
      <c r="C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::gCommInput.Array[3] AT %IW."8FLM01.0000.00I-1".EPL_FB_IN_3_I2007_S04;</v>
      </c>
    </row>
    <row r="6" spans="1:3" x14ac:dyDescent="0.25">
      <c r="A6">
        <f t="shared" si="0"/>
        <v>4</v>
      </c>
      <c r="B6" t="str">
        <f>DEC2HEX(Tabelle2[[#This Row],[Zeilennummer]]+1,2)</f>
        <v>05</v>
      </c>
      <c r="C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::gCommInput.Array[4] AT %IW."8FLM01.0000.00I-1".EPL_FB_IN_4_I2007_S05;</v>
      </c>
    </row>
    <row r="7" spans="1:3" x14ac:dyDescent="0.25">
      <c r="A7">
        <f t="shared" si="0"/>
        <v>5</v>
      </c>
      <c r="B7" t="str">
        <f>DEC2HEX(Tabelle2[[#This Row],[Zeilennummer]]+1,2)</f>
        <v>06</v>
      </c>
      <c r="C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::gCommInput.Array[5] AT %IW."8FLM01.0000.00I-1".EPL_FB_IN_5_I2007_S06;</v>
      </c>
    </row>
    <row r="8" spans="1:3" x14ac:dyDescent="0.25">
      <c r="A8">
        <f t="shared" si="0"/>
        <v>6</v>
      </c>
      <c r="B8" t="str">
        <f>DEC2HEX(Tabelle2[[#This Row],[Zeilennummer]]+1,2)</f>
        <v>07</v>
      </c>
      <c r="C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::gCommInput.Array[6] AT %IW."8FLM01.0000.00I-1".EPL_FB_IN_6_I2007_S07;</v>
      </c>
    </row>
    <row r="9" spans="1:3" x14ac:dyDescent="0.25">
      <c r="A9">
        <f t="shared" si="0"/>
        <v>7</v>
      </c>
      <c r="B9" t="str">
        <f>DEC2HEX(Tabelle2[[#This Row],[Zeilennummer]]+1,2)</f>
        <v>08</v>
      </c>
      <c r="C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::gCommInput.Array[7] AT %IW."8FLM01.0000.00I-1".EPL_FB_IN_7_I2007_S08;</v>
      </c>
    </row>
    <row r="10" spans="1:3" x14ac:dyDescent="0.25">
      <c r="A10">
        <f t="shared" si="0"/>
        <v>8</v>
      </c>
      <c r="B10" t="str">
        <f>DEC2HEX(Tabelle2[[#This Row],[Zeilennummer]]+1,2)</f>
        <v>09</v>
      </c>
      <c r="C1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::gCommInput.Array[8] AT %IW."8FLM01.0000.00I-1".EPL_FB_IN_8_I2007_S09;</v>
      </c>
    </row>
    <row r="11" spans="1:3" x14ac:dyDescent="0.25">
      <c r="A11">
        <f t="shared" si="0"/>
        <v>9</v>
      </c>
      <c r="B11" t="str">
        <f>DEC2HEX(Tabelle2[[#This Row],[Zeilennummer]]+1,2)</f>
        <v>0A</v>
      </c>
      <c r="C1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::gCommInput.Array[9] AT %IW."8FLM01.0000.00I-1".EPL_FB_IN_9_I2007_S0A;</v>
      </c>
    </row>
    <row r="12" spans="1:3" x14ac:dyDescent="0.25">
      <c r="A12">
        <f t="shared" ref="A12:A30" si="1">ROW()-2</f>
        <v>10</v>
      </c>
      <c r="B12" t="str">
        <f>DEC2HEX(Tabelle2[[#This Row],[Zeilennummer]]+1,2)</f>
        <v>0B</v>
      </c>
      <c r="C1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::gCommInput.Array[10] AT %IW."8FLM01.0000.00I-1".EPL_FB_IN_10_I2007_S0B;</v>
      </c>
    </row>
    <row r="13" spans="1:3" x14ac:dyDescent="0.25">
      <c r="A13">
        <f t="shared" si="1"/>
        <v>11</v>
      </c>
      <c r="B13" t="str">
        <f>DEC2HEX(Tabelle2[[#This Row],[Zeilennummer]]+1,2)</f>
        <v>0C</v>
      </c>
      <c r="C1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::gCommInput.Array[11] AT %IW."8FLM01.0000.00I-1".EPL_FB_IN_11_I2007_S0C;</v>
      </c>
    </row>
    <row r="14" spans="1:3" x14ac:dyDescent="0.25">
      <c r="A14">
        <f t="shared" si="1"/>
        <v>12</v>
      </c>
      <c r="B14" t="str">
        <f>DEC2HEX(Tabelle2[[#This Row],[Zeilennummer]]+1,2)</f>
        <v>0D</v>
      </c>
      <c r="C1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::gCommInput.Array[12] AT %IW."8FLM01.0000.00I-1".EPL_FB_IN_12_I2007_S0D;</v>
      </c>
    </row>
    <row r="15" spans="1:3" x14ac:dyDescent="0.25">
      <c r="A15">
        <f t="shared" si="1"/>
        <v>13</v>
      </c>
      <c r="B15" t="str">
        <f>DEC2HEX(Tabelle2[[#This Row],[Zeilennummer]]+1,2)</f>
        <v>0E</v>
      </c>
      <c r="C1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::gCommInput.Array[13] AT %IW."8FLM01.0000.00I-1".EPL_FB_IN_13_I2007_S0E;</v>
      </c>
    </row>
    <row r="16" spans="1:3" x14ac:dyDescent="0.25">
      <c r="A16">
        <f t="shared" si="1"/>
        <v>14</v>
      </c>
      <c r="B16" t="str">
        <f>DEC2HEX(Tabelle2[[#This Row],[Zeilennummer]]+1,2)</f>
        <v>0F</v>
      </c>
      <c r="C1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::gCommInput.Array[14] AT %IW."8FLM01.0000.00I-1".EPL_FB_IN_14_I2007_S0F;</v>
      </c>
    </row>
    <row r="17" spans="1:3" x14ac:dyDescent="0.25">
      <c r="A17">
        <f t="shared" si="1"/>
        <v>15</v>
      </c>
      <c r="B17" t="str">
        <f>DEC2HEX(Tabelle2[[#This Row],[Zeilennummer]]+1,2)</f>
        <v>10</v>
      </c>
      <c r="C1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::gCommInput.Array[15] AT %IW."8FLM01.0000.00I-1".EPL_FB_IN_15_I2007_S10;</v>
      </c>
    </row>
    <row r="18" spans="1:3" x14ac:dyDescent="0.25">
      <c r="A18">
        <f t="shared" si="1"/>
        <v>16</v>
      </c>
      <c r="B18" t="str">
        <f>DEC2HEX(Tabelle2[[#This Row],[Zeilennummer]]+1,2)</f>
        <v>11</v>
      </c>
      <c r="C1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::gCommInput.Array[16] AT %IW."8FLM01.0000.00I-1".EPL_FB_IN_16_I2007_S11;</v>
      </c>
    </row>
    <row r="19" spans="1:3" x14ac:dyDescent="0.25">
      <c r="A19">
        <f t="shared" si="1"/>
        <v>17</v>
      </c>
      <c r="B19" t="str">
        <f>DEC2HEX(Tabelle2[[#This Row],[Zeilennummer]]+1,2)</f>
        <v>12</v>
      </c>
      <c r="C1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::gCommInput.Array[17] AT %IW."8FLM01.0000.00I-1".EPL_FB_IN_17_I2007_S12;</v>
      </c>
    </row>
    <row r="20" spans="1:3" x14ac:dyDescent="0.25">
      <c r="A20">
        <f t="shared" si="1"/>
        <v>18</v>
      </c>
      <c r="B20" t="str">
        <f>DEC2HEX(Tabelle2[[#This Row],[Zeilennummer]]+1,2)</f>
        <v>13</v>
      </c>
      <c r="C2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::gCommInput.Array[18] AT %IW."8FLM01.0000.00I-1".EPL_FB_IN_18_I2007_S13;</v>
      </c>
    </row>
    <row r="21" spans="1:3" x14ac:dyDescent="0.25">
      <c r="A21">
        <f t="shared" si="1"/>
        <v>19</v>
      </c>
      <c r="B21" t="str">
        <f>DEC2HEX(Tabelle2[[#This Row],[Zeilennummer]]+1,2)</f>
        <v>14</v>
      </c>
      <c r="C2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::gCommInput.Array[19] AT %IW."8FLM01.0000.00I-1".EPL_FB_IN_19_I2007_S14;</v>
      </c>
    </row>
    <row r="22" spans="1:3" x14ac:dyDescent="0.25">
      <c r="A22">
        <f t="shared" si="1"/>
        <v>20</v>
      </c>
      <c r="B22" t="str">
        <f>DEC2HEX(Tabelle2[[#This Row],[Zeilennummer]]+1,2)</f>
        <v>15</v>
      </c>
      <c r="C2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::gCommInput.Array[20] AT %IW."8FLM01.0000.00I-1".EPL_FB_IN_20_I2007_S15;</v>
      </c>
    </row>
    <row r="23" spans="1:3" x14ac:dyDescent="0.25">
      <c r="A23">
        <f t="shared" si="1"/>
        <v>21</v>
      </c>
      <c r="B23" t="str">
        <f>DEC2HEX(Tabelle2[[#This Row],[Zeilennummer]]+1,2)</f>
        <v>16</v>
      </c>
      <c r="C2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::gCommInput.Array[21] AT %IW."8FLM01.0000.00I-1".EPL_FB_IN_21_I2007_S16;</v>
      </c>
    </row>
    <row r="24" spans="1:3" x14ac:dyDescent="0.25">
      <c r="A24">
        <f t="shared" si="1"/>
        <v>22</v>
      </c>
      <c r="B24" t="str">
        <f>DEC2HEX(Tabelle2[[#This Row],[Zeilennummer]]+1,2)</f>
        <v>17</v>
      </c>
      <c r="C2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::gCommInput.Array[22] AT %IW."8FLM01.0000.00I-1".EPL_FB_IN_22_I2007_S17;</v>
      </c>
    </row>
    <row r="25" spans="1:3" x14ac:dyDescent="0.25">
      <c r="A25">
        <f t="shared" si="1"/>
        <v>23</v>
      </c>
      <c r="B25" t="str">
        <f>DEC2HEX(Tabelle2[[#This Row],[Zeilennummer]]+1,2)</f>
        <v>18</v>
      </c>
      <c r="C2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::gCommInput.Array[23] AT %IW."8FLM01.0000.00I-1".EPL_FB_IN_23_I2007_S18;</v>
      </c>
    </row>
    <row r="26" spans="1:3" x14ac:dyDescent="0.25">
      <c r="A26">
        <f t="shared" si="1"/>
        <v>24</v>
      </c>
      <c r="B26" t="str">
        <f>DEC2HEX(Tabelle2[[#This Row],[Zeilennummer]]+1,2)</f>
        <v>19</v>
      </c>
      <c r="C2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::gCommInput.Array[24] AT %IW."8FLM01.0000.00I-1".EPL_FB_IN_24_I2007_S19;</v>
      </c>
    </row>
    <row r="27" spans="1:3" x14ac:dyDescent="0.25">
      <c r="A27">
        <f t="shared" si="1"/>
        <v>25</v>
      </c>
      <c r="B27" t="str">
        <f>DEC2HEX(Tabelle2[[#This Row],[Zeilennummer]]+1,2)</f>
        <v>1A</v>
      </c>
      <c r="C2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::gCommInput.Array[25] AT %IW."8FLM01.0000.00I-1".EPL_FB_IN_25_I2007_S1A;</v>
      </c>
    </row>
    <row r="28" spans="1:3" x14ac:dyDescent="0.25">
      <c r="A28">
        <f t="shared" si="1"/>
        <v>26</v>
      </c>
      <c r="B28" t="str">
        <f>DEC2HEX(Tabelle2[[#This Row],[Zeilennummer]]+1,2)</f>
        <v>1B</v>
      </c>
      <c r="C2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::gCommInput.Array[26] AT %IW."8FLM01.0000.00I-1".EPL_FB_IN_26_I2007_S1B;</v>
      </c>
    </row>
    <row r="29" spans="1:3" x14ac:dyDescent="0.25">
      <c r="A29">
        <f t="shared" si="1"/>
        <v>27</v>
      </c>
      <c r="B29" t="str">
        <f>DEC2HEX(Tabelle2[[#This Row],[Zeilennummer]]+1,2)</f>
        <v>1C</v>
      </c>
      <c r="C2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::gCommInput.Array[27] AT %IW."8FLM01.0000.00I-1".EPL_FB_IN_27_I2007_S1C;</v>
      </c>
    </row>
    <row r="30" spans="1:3" x14ac:dyDescent="0.25">
      <c r="A30">
        <f t="shared" si="1"/>
        <v>28</v>
      </c>
      <c r="B30" t="str">
        <f>DEC2HEX(Tabelle2[[#This Row],[Zeilennummer]]+1,2)</f>
        <v>1D</v>
      </c>
      <c r="C3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::gCommInput.Array[28] AT %IW."8FLM01.0000.00I-1".EPL_FB_IN_28_I2007_S1D;</v>
      </c>
    </row>
    <row r="31" spans="1:3" x14ac:dyDescent="0.25">
      <c r="A31">
        <f t="shared" ref="A31:A62" si="2">ROW()-2</f>
        <v>29</v>
      </c>
      <c r="B31" t="str">
        <f>DEC2HEX(Tabelle2[[#This Row],[Zeilennummer]]+1,2)</f>
        <v>1E</v>
      </c>
      <c r="C3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::gCommInput.Array[29] AT %IW."8FLM01.0000.00I-1".EPL_FB_IN_29_I2007_S1E;</v>
      </c>
    </row>
    <row r="32" spans="1:3" x14ac:dyDescent="0.25">
      <c r="A32">
        <f t="shared" si="2"/>
        <v>30</v>
      </c>
      <c r="B32" t="str">
        <f>DEC2HEX(Tabelle2[[#This Row],[Zeilennummer]]+1,2)</f>
        <v>1F</v>
      </c>
      <c r="C3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::gCommInput.Array[30] AT %IW."8FLM01.0000.00I-1".EPL_FB_IN_30_I2007_S1F;</v>
      </c>
    </row>
    <row r="33" spans="1:3" x14ac:dyDescent="0.25">
      <c r="A33">
        <f t="shared" si="2"/>
        <v>31</v>
      </c>
      <c r="B33" t="str">
        <f>DEC2HEX(Tabelle2[[#This Row],[Zeilennummer]]+1,2)</f>
        <v>20</v>
      </c>
      <c r="C3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::gCommInput.Array[31] AT %IW."8FLM01.0000.00I-1".EPL_FB_IN_31_I2007_S20;</v>
      </c>
    </row>
    <row r="34" spans="1:3" x14ac:dyDescent="0.25">
      <c r="A34">
        <f t="shared" si="2"/>
        <v>32</v>
      </c>
      <c r="B34" t="str">
        <f>DEC2HEX(Tabelle2[[#This Row],[Zeilennummer]]+1,2)</f>
        <v>21</v>
      </c>
      <c r="C3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::gCommInput.Array[32] AT %IW."8FLM01.0000.00I-1".EPL_FB_IN_32_I2007_S21;</v>
      </c>
    </row>
    <row r="35" spans="1:3" x14ac:dyDescent="0.25">
      <c r="A35">
        <f t="shared" si="2"/>
        <v>33</v>
      </c>
      <c r="B35" t="str">
        <f>DEC2HEX(Tabelle2[[#This Row],[Zeilennummer]]+1,2)</f>
        <v>22</v>
      </c>
      <c r="C3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::gCommInput.Array[33] AT %IW."8FLM01.0000.00I-1".EPL_FB_IN_33_I2007_S22;</v>
      </c>
    </row>
    <row r="36" spans="1:3" x14ac:dyDescent="0.25">
      <c r="A36">
        <f t="shared" si="2"/>
        <v>34</v>
      </c>
      <c r="B36" t="str">
        <f>DEC2HEX(Tabelle2[[#This Row],[Zeilennummer]]+1,2)</f>
        <v>23</v>
      </c>
      <c r="C3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::gCommInput.Array[34] AT %IW."8FLM01.0000.00I-1".EPL_FB_IN_34_I2007_S23;</v>
      </c>
    </row>
    <row r="37" spans="1:3" x14ac:dyDescent="0.25">
      <c r="A37">
        <f t="shared" si="2"/>
        <v>35</v>
      </c>
      <c r="B37" t="str">
        <f>DEC2HEX(Tabelle2[[#This Row],[Zeilennummer]]+1,2)</f>
        <v>24</v>
      </c>
      <c r="C3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::gCommInput.Array[35] AT %IW."8FLM01.0000.00I-1".EPL_FB_IN_35_I2007_S24;</v>
      </c>
    </row>
    <row r="38" spans="1:3" x14ac:dyDescent="0.25">
      <c r="A38">
        <f t="shared" si="2"/>
        <v>36</v>
      </c>
      <c r="B38" t="str">
        <f>DEC2HEX(Tabelle2[[#This Row],[Zeilennummer]]+1,2)</f>
        <v>25</v>
      </c>
      <c r="C3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::gCommInput.Array[36] AT %IW."8FLM01.0000.00I-1".EPL_FB_IN_36_I2007_S25;</v>
      </c>
    </row>
    <row r="39" spans="1:3" x14ac:dyDescent="0.25">
      <c r="A39">
        <f t="shared" si="2"/>
        <v>37</v>
      </c>
      <c r="B39" t="str">
        <f>DEC2HEX(Tabelle2[[#This Row],[Zeilennummer]]+1,2)</f>
        <v>26</v>
      </c>
      <c r="C3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::gCommInput.Array[37] AT %IW."8FLM01.0000.00I-1".EPL_FB_IN_37_I2007_S26;</v>
      </c>
    </row>
    <row r="40" spans="1:3" x14ac:dyDescent="0.25">
      <c r="A40">
        <f t="shared" si="2"/>
        <v>38</v>
      </c>
      <c r="B40" t="str">
        <f>DEC2HEX(Tabelle2[[#This Row],[Zeilennummer]]+1,2)</f>
        <v>27</v>
      </c>
      <c r="C4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::gCommInput.Array[38] AT %IW."8FLM01.0000.00I-1".EPL_FB_IN_38_I2007_S27;</v>
      </c>
    </row>
    <row r="41" spans="1:3" x14ac:dyDescent="0.25">
      <c r="A41">
        <f t="shared" si="2"/>
        <v>39</v>
      </c>
      <c r="B41" t="str">
        <f>DEC2HEX(Tabelle2[[#This Row],[Zeilennummer]]+1,2)</f>
        <v>28</v>
      </c>
      <c r="C4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::gCommInput.Array[39] AT %IW."8FLM01.0000.00I-1".EPL_FB_IN_39_I2007_S28;</v>
      </c>
    </row>
    <row r="42" spans="1:3" x14ac:dyDescent="0.25">
      <c r="A42">
        <f t="shared" si="2"/>
        <v>40</v>
      </c>
      <c r="B42" t="str">
        <f>DEC2HEX(Tabelle2[[#This Row],[Zeilennummer]]+1,2)</f>
        <v>29</v>
      </c>
      <c r="C4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::gCommInput.Array[40] AT %IW."8FLM01.0000.00I-1".EPL_FB_IN_40_I2007_S29;</v>
      </c>
    </row>
    <row r="43" spans="1:3" x14ac:dyDescent="0.25">
      <c r="A43">
        <f t="shared" si="2"/>
        <v>41</v>
      </c>
      <c r="B43" t="str">
        <f>DEC2HEX(Tabelle2[[#This Row],[Zeilennummer]]+1,2)</f>
        <v>2A</v>
      </c>
      <c r="C4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::gCommInput.Array[41] AT %IW."8FLM01.0000.00I-1".EPL_FB_IN_41_I2007_S2A;</v>
      </c>
    </row>
    <row r="44" spans="1:3" x14ac:dyDescent="0.25">
      <c r="A44">
        <f t="shared" si="2"/>
        <v>42</v>
      </c>
      <c r="B44" t="str">
        <f>DEC2HEX(Tabelle2[[#This Row],[Zeilennummer]]+1,2)</f>
        <v>2B</v>
      </c>
      <c r="C4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::gCommInput.Array[42] AT %IW."8FLM01.0000.00I-1".EPL_FB_IN_42_I2007_S2B;</v>
      </c>
    </row>
    <row r="45" spans="1:3" x14ac:dyDescent="0.25">
      <c r="A45">
        <f t="shared" si="2"/>
        <v>43</v>
      </c>
      <c r="B45" t="str">
        <f>DEC2HEX(Tabelle2[[#This Row],[Zeilennummer]]+1,2)</f>
        <v>2C</v>
      </c>
      <c r="C4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::gCommInput.Array[43] AT %IW."8FLM01.0000.00I-1".EPL_FB_IN_43_I2007_S2C;</v>
      </c>
    </row>
    <row r="46" spans="1:3" x14ac:dyDescent="0.25">
      <c r="A46">
        <f t="shared" si="2"/>
        <v>44</v>
      </c>
      <c r="B46" t="str">
        <f>DEC2HEX(Tabelle2[[#This Row],[Zeilennummer]]+1,2)</f>
        <v>2D</v>
      </c>
      <c r="C4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::gCommInput.Array[44] AT %IW."8FLM01.0000.00I-1".EPL_FB_IN_44_I2007_S2D;</v>
      </c>
    </row>
    <row r="47" spans="1:3" x14ac:dyDescent="0.25">
      <c r="A47">
        <f t="shared" si="2"/>
        <v>45</v>
      </c>
      <c r="B47" t="str">
        <f>DEC2HEX(Tabelle2[[#This Row],[Zeilennummer]]+1,2)</f>
        <v>2E</v>
      </c>
      <c r="C4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::gCommInput.Array[45] AT %IW."8FLM01.0000.00I-1".EPL_FB_IN_45_I2007_S2E;</v>
      </c>
    </row>
    <row r="48" spans="1:3" x14ac:dyDescent="0.25">
      <c r="A48">
        <f t="shared" si="2"/>
        <v>46</v>
      </c>
      <c r="B48" t="str">
        <f>DEC2HEX(Tabelle2[[#This Row],[Zeilennummer]]+1,2)</f>
        <v>2F</v>
      </c>
      <c r="C4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::gCommInput.Array[46] AT %IW."8FLM01.0000.00I-1".EPL_FB_IN_46_I2007_S2F;</v>
      </c>
    </row>
    <row r="49" spans="1:3" x14ac:dyDescent="0.25">
      <c r="A49">
        <f t="shared" si="2"/>
        <v>47</v>
      </c>
      <c r="B49" t="str">
        <f>DEC2HEX(Tabelle2[[#This Row],[Zeilennummer]]+1,2)</f>
        <v>30</v>
      </c>
      <c r="C4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::gCommInput.Array[47] AT %IW."8FLM01.0000.00I-1".EPL_FB_IN_47_I2007_S30;</v>
      </c>
    </row>
    <row r="50" spans="1:3" x14ac:dyDescent="0.25">
      <c r="A50">
        <f t="shared" si="2"/>
        <v>48</v>
      </c>
      <c r="B50" t="str">
        <f>DEC2HEX(Tabelle2[[#This Row],[Zeilennummer]]+1,2)</f>
        <v>31</v>
      </c>
      <c r="C5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::gCommInput.Array[48] AT %IW."8FLM01.0000.00I-1".EPL_FB_IN_48_I2007_S31;</v>
      </c>
    </row>
    <row r="51" spans="1:3" x14ac:dyDescent="0.25">
      <c r="A51">
        <f t="shared" si="2"/>
        <v>49</v>
      </c>
      <c r="B51" t="str">
        <f>DEC2HEX(Tabelle2[[#This Row],[Zeilennummer]]+1,2)</f>
        <v>32</v>
      </c>
      <c r="C5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::gCommInput.Array[49] AT %IW."8FLM01.0000.00I-1".EPL_FB_IN_49_I2007_S32;</v>
      </c>
    </row>
    <row r="52" spans="1:3" x14ac:dyDescent="0.25">
      <c r="A52">
        <f t="shared" si="2"/>
        <v>50</v>
      </c>
      <c r="B52" t="str">
        <f>DEC2HEX(Tabelle2[[#This Row],[Zeilennummer]]+1,2)</f>
        <v>33</v>
      </c>
      <c r="C5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::gCommInput.Array[50] AT %IW."8FLM01.0000.00I-1".EPL_FB_IN_50_I2007_S33;</v>
      </c>
    </row>
    <row r="53" spans="1:3" x14ac:dyDescent="0.25">
      <c r="A53">
        <f t="shared" si="2"/>
        <v>51</v>
      </c>
      <c r="B53" t="str">
        <f>DEC2HEX(Tabelle2[[#This Row],[Zeilennummer]]+1,2)</f>
        <v>34</v>
      </c>
      <c r="C5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::gCommInput.Array[51] AT %IW."8FLM01.0000.00I-1".EPL_FB_IN_51_I2007_S34;</v>
      </c>
    </row>
    <row r="54" spans="1:3" x14ac:dyDescent="0.25">
      <c r="A54">
        <f t="shared" si="2"/>
        <v>52</v>
      </c>
      <c r="B54" t="str">
        <f>DEC2HEX(Tabelle2[[#This Row],[Zeilennummer]]+1,2)</f>
        <v>35</v>
      </c>
      <c r="C5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::gCommInput.Array[52] AT %IW."8FLM01.0000.00I-1".EPL_FB_IN_52_I2007_S35;</v>
      </c>
    </row>
    <row r="55" spans="1:3" x14ac:dyDescent="0.25">
      <c r="A55">
        <f t="shared" si="2"/>
        <v>53</v>
      </c>
      <c r="B55" t="str">
        <f>DEC2HEX(Tabelle2[[#This Row],[Zeilennummer]]+1,2)</f>
        <v>36</v>
      </c>
      <c r="C5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::gCommInput.Array[53] AT %IW."8FLM01.0000.00I-1".EPL_FB_IN_53_I2007_S36;</v>
      </c>
    </row>
    <row r="56" spans="1:3" x14ac:dyDescent="0.25">
      <c r="A56">
        <f t="shared" si="2"/>
        <v>54</v>
      </c>
      <c r="B56" t="str">
        <f>DEC2HEX(Tabelle2[[#This Row],[Zeilennummer]]+1,2)</f>
        <v>37</v>
      </c>
      <c r="C5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::gCommInput.Array[54] AT %IW."8FLM01.0000.00I-1".EPL_FB_IN_54_I2007_S37;</v>
      </c>
    </row>
    <row r="57" spans="1:3" x14ac:dyDescent="0.25">
      <c r="A57">
        <f t="shared" si="2"/>
        <v>55</v>
      </c>
      <c r="B57" t="str">
        <f>DEC2HEX(Tabelle2[[#This Row],[Zeilennummer]]+1,2)</f>
        <v>38</v>
      </c>
      <c r="C5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::gCommInput.Array[55] AT %IW."8FLM01.0000.00I-1".EPL_FB_IN_55_I2007_S38;</v>
      </c>
    </row>
    <row r="58" spans="1:3" x14ac:dyDescent="0.25">
      <c r="A58">
        <f t="shared" si="2"/>
        <v>56</v>
      </c>
      <c r="B58" t="str">
        <f>DEC2HEX(Tabelle2[[#This Row],[Zeilennummer]]+1,2)</f>
        <v>39</v>
      </c>
      <c r="C5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::gCommInput.Array[56] AT %IW."8FLM01.0000.00I-1".EPL_FB_IN_56_I2007_S39;</v>
      </c>
    </row>
    <row r="59" spans="1:3" x14ac:dyDescent="0.25">
      <c r="A59">
        <f t="shared" si="2"/>
        <v>57</v>
      </c>
      <c r="B59" t="str">
        <f>DEC2HEX(Tabelle2[[#This Row],[Zeilennummer]]+1,2)</f>
        <v>3A</v>
      </c>
      <c r="C5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::gCommInput.Array[57] AT %IW."8FLM01.0000.00I-1".EPL_FB_IN_57_I2007_S3A;</v>
      </c>
    </row>
    <row r="60" spans="1:3" x14ac:dyDescent="0.25">
      <c r="A60">
        <f t="shared" si="2"/>
        <v>58</v>
      </c>
      <c r="B60" t="str">
        <f>DEC2HEX(Tabelle2[[#This Row],[Zeilennummer]]+1,2)</f>
        <v>3B</v>
      </c>
      <c r="C6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::gCommInput.Array[58] AT %IW."8FLM01.0000.00I-1".EPL_FB_IN_58_I2007_S3B;</v>
      </c>
    </row>
    <row r="61" spans="1:3" x14ac:dyDescent="0.25">
      <c r="A61">
        <f t="shared" si="2"/>
        <v>59</v>
      </c>
      <c r="B61" t="str">
        <f>DEC2HEX(Tabelle2[[#This Row],[Zeilennummer]]+1,2)</f>
        <v>3C</v>
      </c>
      <c r="C6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::gCommInput.Array[59] AT %IW."8FLM01.0000.00I-1".EPL_FB_IN_59_I2007_S3C;</v>
      </c>
    </row>
    <row r="62" spans="1:3" x14ac:dyDescent="0.25">
      <c r="A62">
        <f t="shared" si="2"/>
        <v>60</v>
      </c>
      <c r="B62" t="str">
        <f>DEC2HEX(Tabelle2[[#This Row],[Zeilennummer]]+1,2)</f>
        <v>3D</v>
      </c>
      <c r="C6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::gCommInput.Array[60] AT %IW."8FLM01.0000.00I-1".EPL_FB_IN_60_I2007_S3D;</v>
      </c>
    </row>
    <row r="63" spans="1:3" x14ac:dyDescent="0.25">
      <c r="A63">
        <f t="shared" ref="A63:A94" si="3">ROW()-2</f>
        <v>61</v>
      </c>
      <c r="B63" t="str">
        <f>DEC2HEX(Tabelle2[[#This Row],[Zeilennummer]]+1,2)</f>
        <v>3E</v>
      </c>
      <c r="C6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::gCommInput.Array[61] AT %IW."8FLM01.0000.00I-1".EPL_FB_IN_61_I2007_S3E;</v>
      </c>
    </row>
    <row r="64" spans="1:3" x14ac:dyDescent="0.25">
      <c r="A64">
        <f t="shared" si="3"/>
        <v>62</v>
      </c>
      <c r="B64" t="str">
        <f>DEC2HEX(Tabelle2[[#This Row],[Zeilennummer]]+1,2)</f>
        <v>3F</v>
      </c>
      <c r="C6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::gCommInput.Array[62] AT %IW."8FLM01.0000.00I-1".EPL_FB_IN_62_I2007_S3F;</v>
      </c>
    </row>
    <row r="65" spans="1:3" x14ac:dyDescent="0.25">
      <c r="A65">
        <f t="shared" si="3"/>
        <v>63</v>
      </c>
      <c r="B65" t="str">
        <f>DEC2HEX(Tabelle2[[#This Row],[Zeilennummer]]+1,2)</f>
        <v>40</v>
      </c>
      <c r="C6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::gCommInput.Array[63] AT %IW."8FLM01.0000.00I-1".EPL_FB_IN_63_I2007_S40;</v>
      </c>
    </row>
    <row r="66" spans="1:3" x14ac:dyDescent="0.25">
      <c r="A66">
        <f t="shared" si="3"/>
        <v>64</v>
      </c>
      <c r="B66" t="str">
        <f>DEC2HEX(Tabelle2[[#This Row],[Zeilennummer]]+1,2)</f>
        <v>41</v>
      </c>
      <c r="C6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::gCommInput.Array[64] AT %IW."8FLM01.0000.00I-1".EPL_FB_IN_64_I2007_S41;</v>
      </c>
    </row>
    <row r="67" spans="1:3" x14ac:dyDescent="0.25">
      <c r="A67">
        <f t="shared" si="3"/>
        <v>65</v>
      </c>
      <c r="B67" t="str">
        <f>DEC2HEX(Tabelle2[[#This Row],[Zeilennummer]]+1,2)</f>
        <v>42</v>
      </c>
      <c r="C6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::gCommInput.Array[65] AT %IW."8FLM01.0000.00I-1".EPL_FB_IN_65_I2007_S42;</v>
      </c>
    </row>
    <row r="68" spans="1:3" x14ac:dyDescent="0.25">
      <c r="A68">
        <f t="shared" si="3"/>
        <v>66</v>
      </c>
      <c r="B68" t="str">
        <f>DEC2HEX(Tabelle2[[#This Row],[Zeilennummer]]+1,2)</f>
        <v>43</v>
      </c>
      <c r="C6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::gCommInput.Array[66] AT %IW."8FLM01.0000.00I-1".EPL_FB_IN_66_I2007_S43;</v>
      </c>
    </row>
    <row r="69" spans="1:3" x14ac:dyDescent="0.25">
      <c r="A69">
        <f t="shared" si="3"/>
        <v>67</v>
      </c>
      <c r="B69" t="str">
        <f>DEC2HEX(Tabelle2[[#This Row],[Zeilennummer]]+1,2)</f>
        <v>44</v>
      </c>
      <c r="C6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::gCommInput.Array[67] AT %IW."8FLM01.0000.00I-1".EPL_FB_IN_67_I2007_S44;</v>
      </c>
    </row>
    <row r="70" spans="1:3" x14ac:dyDescent="0.25">
      <c r="A70">
        <f t="shared" si="3"/>
        <v>68</v>
      </c>
      <c r="B70" t="str">
        <f>DEC2HEX(Tabelle2[[#This Row],[Zeilennummer]]+1,2)</f>
        <v>45</v>
      </c>
      <c r="C7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::gCommInput.Array[68] AT %IW."8FLM01.0000.00I-1".EPL_FB_IN_68_I2007_S45;</v>
      </c>
    </row>
    <row r="71" spans="1:3" x14ac:dyDescent="0.25">
      <c r="A71">
        <f t="shared" si="3"/>
        <v>69</v>
      </c>
      <c r="B71" t="str">
        <f>DEC2HEX(Tabelle2[[#This Row],[Zeilennummer]]+1,2)</f>
        <v>46</v>
      </c>
      <c r="C7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::gCommInput.Array[69] AT %IW."8FLM01.0000.00I-1".EPL_FB_IN_69_I2007_S46;</v>
      </c>
    </row>
    <row r="72" spans="1:3" x14ac:dyDescent="0.25">
      <c r="A72">
        <f t="shared" si="3"/>
        <v>70</v>
      </c>
      <c r="B72" t="str">
        <f>DEC2HEX(Tabelle2[[#This Row],[Zeilennummer]]+1,2)</f>
        <v>47</v>
      </c>
      <c r="C7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::gCommInput.Array[70] AT %IW."8FLM01.0000.00I-1".EPL_FB_IN_70_I2007_S47;</v>
      </c>
    </row>
    <row r="73" spans="1:3" x14ac:dyDescent="0.25">
      <c r="A73">
        <f t="shared" si="3"/>
        <v>71</v>
      </c>
      <c r="B73" t="str">
        <f>DEC2HEX(Tabelle2[[#This Row],[Zeilennummer]]+1,2)</f>
        <v>48</v>
      </c>
      <c r="C7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::gCommInput.Array[71] AT %IW."8FLM01.0000.00I-1".EPL_FB_IN_71_I2007_S48;</v>
      </c>
    </row>
    <row r="74" spans="1:3" x14ac:dyDescent="0.25">
      <c r="A74">
        <f t="shared" si="3"/>
        <v>72</v>
      </c>
      <c r="B74" t="str">
        <f>DEC2HEX(Tabelle2[[#This Row],[Zeilennummer]]+1,2)</f>
        <v>49</v>
      </c>
      <c r="C7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::gCommInput.Array[72] AT %IW."8FLM01.0000.00I-1".EPL_FB_IN_72_I2007_S49;</v>
      </c>
    </row>
    <row r="75" spans="1:3" x14ac:dyDescent="0.25">
      <c r="A75">
        <f t="shared" si="3"/>
        <v>73</v>
      </c>
      <c r="B75" t="str">
        <f>DEC2HEX(Tabelle2[[#This Row],[Zeilennummer]]+1,2)</f>
        <v>4A</v>
      </c>
      <c r="C7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::gCommInput.Array[73] AT %IW."8FLM01.0000.00I-1".EPL_FB_IN_73_I2007_S4A;</v>
      </c>
    </row>
    <row r="76" spans="1:3" x14ac:dyDescent="0.25">
      <c r="A76">
        <f t="shared" si="3"/>
        <v>74</v>
      </c>
      <c r="B76" t="str">
        <f>DEC2HEX(Tabelle2[[#This Row],[Zeilennummer]]+1,2)</f>
        <v>4B</v>
      </c>
      <c r="C7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::gCommInput.Array[74] AT %IW."8FLM01.0000.00I-1".EPL_FB_IN_74_I2007_S4B;</v>
      </c>
    </row>
    <row r="77" spans="1:3" x14ac:dyDescent="0.25">
      <c r="A77">
        <f t="shared" si="3"/>
        <v>75</v>
      </c>
      <c r="B77" t="str">
        <f>DEC2HEX(Tabelle2[[#This Row],[Zeilennummer]]+1,2)</f>
        <v>4C</v>
      </c>
      <c r="C7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::gCommInput.Array[75] AT %IW."8FLM01.0000.00I-1".EPL_FB_IN_75_I2007_S4C;</v>
      </c>
    </row>
    <row r="78" spans="1:3" x14ac:dyDescent="0.25">
      <c r="A78">
        <f t="shared" si="3"/>
        <v>76</v>
      </c>
      <c r="B78" t="str">
        <f>DEC2HEX(Tabelle2[[#This Row],[Zeilennummer]]+1,2)</f>
        <v>4D</v>
      </c>
      <c r="C7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::gCommInput.Array[76] AT %IW."8FLM01.0000.00I-1".EPL_FB_IN_76_I2007_S4D;</v>
      </c>
    </row>
    <row r="79" spans="1:3" x14ac:dyDescent="0.25">
      <c r="A79">
        <f t="shared" si="3"/>
        <v>77</v>
      </c>
      <c r="B79" t="str">
        <f>DEC2HEX(Tabelle2[[#This Row],[Zeilennummer]]+1,2)</f>
        <v>4E</v>
      </c>
      <c r="C7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::gCommInput.Array[77] AT %IW."8FLM01.0000.00I-1".EPL_FB_IN_77_I2007_S4E;</v>
      </c>
    </row>
    <row r="80" spans="1:3" x14ac:dyDescent="0.25">
      <c r="A80">
        <f t="shared" si="3"/>
        <v>78</v>
      </c>
      <c r="B80" t="str">
        <f>DEC2HEX(Tabelle2[[#This Row],[Zeilennummer]]+1,2)</f>
        <v>4F</v>
      </c>
      <c r="C8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::gCommInput.Array[78] AT %IW."8FLM01.0000.00I-1".EPL_FB_IN_78_I2007_S4F;</v>
      </c>
    </row>
    <row r="81" spans="1:3" x14ac:dyDescent="0.25">
      <c r="A81">
        <f t="shared" si="3"/>
        <v>79</v>
      </c>
      <c r="B81" t="str">
        <f>DEC2HEX(Tabelle2[[#This Row],[Zeilennummer]]+1,2)</f>
        <v>50</v>
      </c>
      <c r="C8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::gCommInput.Array[79] AT %IW."8FLM01.0000.00I-1".EPL_FB_IN_79_I2007_S50;</v>
      </c>
    </row>
    <row r="82" spans="1:3" x14ac:dyDescent="0.25">
      <c r="A82">
        <f t="shared" si="3"/>
        <v>80</v>
      </c>
      <c r="B82" t="str">
        <f>DEC2HEX(Tabelle2[[#This Row],[Zeilennummer]]+1,2)</f>
        <v>51</v>
      </c>
      <c r="C8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::gCommInput.Array[80] AT %IW."8FLM01.0000.00I-1".EPL_FB_IN_80_I2007_S51;</v>
      </c>
    </row>
    <row r="83" spans="1:3" x14ac:dyDescent="0.25">
      <c r="A83">
        <f t="shared" si="3"/>
        <v>81</v>
      </c>
      <c r="B83" t="str">
        <f>DEC2HEX(Tabelle2[[#This Row],[Zeilennummer]]+1,2)</f>
        <v>52</v>
      </c>
      <c r="C8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::gCommInput.Array[81] AT %IW."8FLM01.0000.00I-1".EPL_FB_IN_81_I2007_S52;</v>
      </c>
    </row>
    <row r="84" spans="1:3" x14ac:dyDescent="0.25">
      <c r="A84">
        <f t="shared" si="3"/>
        <v>82</v>
      </c>
      <c r="B84" t="str">
        <f>DEC2HEX(Tabelle2[[#This Row],[Zeilennummer]]+1,2)</f>
        <v>53</v>
      </c>
      <c r="C8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::gCommInput.Array[82] AT %IW."8FLM01.0000.00I-1".EPL_FB_IN_82_I2007_S53;</v>
      </c>
    </row>
    <row r="85" spans="1:3" x14ac:dyDescent="0.25">
      <c r="A85">
        <f t="shared" si="3"/>
        <v>83</v>
      </c>
      <c r="B85" t="str">
        <f>DEC2HEX(Tabelle2[[#This Row],[Zeilennummer]]+1,2)</f>
        <v>54</v>
      </c>
      <c r="C8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::gCommInput.Array[83] AT %IW."8FLM01.0000.00I-1".EPL_FB_IN_83_I2007_S54;</v>
      </c>
    </row>
    <row r="86" spans="1:3" x14ac:dyDescent="0.25">
      <c r="A86">
        <f t="shared" si="3"/>
        <v>84</v>
      </c>
      <c r="B86" t="str">
        <f>DEC2HEX(Tabelle2[[#This Row],[Zeilennummer]]+1,2)</f>
        <v>55</v>
      </c>
      <c r="C8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::gCommInput.Array[84] AT %IW."8FLM01.0000.00I-1".EPL_FB_IN_84_I2007_S55;</v>
      </c>
    </row>
    <row r="87" spans="1:3" x14ac:dyDescent="0.25">
      <c r="A87">
        <f t="shared" si="3"/>
        <v>85</v>
      </c>
      <c r="B87" t="str">
        <f>DEC2HEX(Tabelle2[[#This Row],[Zeilennummer]]+1,2)</f>
        <v>56</v>
      </c>
      <c r="C8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::gCommInput.Array[85] AT %IW."8FLM01.0000.00I-1".EPL_FB_IN_85_I2007_S56;</v>
      </c>
    </row>
    <row r="88" spans="1:3" x14ac:dyDescent="0.25">
      <c r="A88">
        <f t="shared" si="3"/>
        <v>86</v>
      </c>
      <c r="B88" t="str">
        <f>DEC2HEX(Tabelle2[[#This Row],[Zeilennummer]]+1,2)</f>
        <v>57</v>
      </c>
      <c r="C8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::gCommInput.Array[86] AT %IW."8FLM01.0000.00I-1".EPL_FB_IN_86_I2007_S57;</v>
      </c>
    </row>
    <row r="89" spans="1:3" x14ac:dyDescent="0.25">
      <c r="A89">
        <f t="shared" si="3"/>
        <v>87</v>
      </c>
      <c r="B89" t="str">
        <f>DEC2HEX(Tabelle2[[#This Row],[Zeilennummer]]+1,2)</f>
        <v>58</v>
      </c>
      <c r="C8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::gCommInput.Array[87] AT %IW."8FLM01.0000.00I-1".EPL_FB_IN_87_I2007_S58;</v>
      </c>
    </row>
    <row r="90" spans="1:3" x14ac:dyDescent="0.25">
      <c r="A90">
        <f t="shared" si="3"/>
        <v>88</v>
      </c>
      <c r="B90" t="str">
        <f>DEC2HEX(Tabelle2[[#This Row],[Zeilennummer]]+1,2)</f>
        <v>59</v>
      </c>
      <c r="C9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::gCommInput.Array[88] AT %IW."8FLM01.0000.00I-1".EPL_FB_IN_88_I2007_S59;</v>
      </c>
    </row>
    <row r="91" spans="1:3" x14ac:dyDescent="0.25">
      <c r="A91">
        <f t="shared" si="3"/>
        <v>89</v>
      </c>
      <c r="B91" t="str">
        <f>DEC2HEX(Tabelle2[[#This Row],[Zeilennummer]]+1,2)</f>
        <v>5A</v>
      </c>
      <c r="C9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::gCommInput.Array[89] AT %IW."8FLM01.0000.00I-1".EPL_FB_IN_89_I2007_S5A;</v>
      </c>
    </row>
    <row r="92" spans="1:3" x14ac:dyDescent="0.25">
      <c r="A92">
        <f t="shared" si="3"/>
        <v>90</v>
      </c>
      <c r="B92" t="str">
        <f>DEC2HEX(Tabelle2[[#This Row],[Zeilennummer]]+1,2)</f>
        <v>5B</v>
      </c>
      <c r="C9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::gCommInput.Array[90] AT %IW."8FLM01.0000.00I-1".EPL_FB_IN_90_I2007_S5B;</v>
      </c>
    </row>
    <row r="93" spans="1:3" x14ac:dyDescent="0.25">
      <c r="A93">
        <f t="shared" si="3"/>
        <v>91</v>
      </c>
      <c r="B93" t="str">
        <f>DEC2HEX(Tabelle2[[#This Row],[Zeilennummer]]+1,2)</f>
        <v>5C</v>
      </c>
      <c r="C9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::gCommInput.Array[91] AT %IW."8FLM01.0000.00I-1".EPL_FB_IN_91_I2007_S5C;</v>
      </c>
    </row>
    <row r="94" spans="1:3" x14ac:dyDescent="0.25">
      <c r="A94">
        <f t="shared" si="3"/>
        <v>92</v>
      </c>
      <c r="B94" t="str">
        <f>DEC2HEX(Tabelle2[[#This Row],[Zeilennummer]]+1,2)</f>
        <v>5D</v>
      </c>
      <c r="C9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::gCommInput.Array[92] AT %IW."8FLM01.0000.00I-1".EPL_FB_IN_92_I2007_S5D;</v>
      </c>
    </row>
    <row r="95" spans="1:3" x14ac:dyDescent="0.25">
      <c r="A95">
        <f t="shared" ref="A95:A126" si="4">ROW()-2</f>
        <v>93</v>
      </c>
      <c r="B95" t="str">
        <f>DEC2HEX(Tabelle2[[#This Row],[Zeilennummer]]+1,2)</f>
        <v>5E</v>
      </c>
      <c r="C9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::gCommInput.Array[93] AT %IW."8FLM01.0000.00I-1".EPL_FB_IN_93_I2007_S5E;</v>
      </c>
    </row>
    <row r="96" spans="1:3" x14ac:dyDescent="0.25">
      <c r="A96">
        <f t="shared" si="4"/>
        <v>94</v>
      </c>
      <c r="B96" t="str">
        <f>DEC2HEX(Tabelle2[[#This Row],[Zeilennummer]]+1,2)</f>
        <v>5F</v>
      </c>
      <c r="C9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::gCommInput.Array[94] AT %IW."8FLM01.0000.00I-1".EPL_FB_IN_94_I2007_S5F;</v>
      </c>
    </row>
    <row r="97" spans="1:3" x14ac:dyDescent="0.25">
      <c r="A97">
        <f t="shared" si="4"/>
        <v>95</v>
      </c>
      <c r="B97" t="str">
        <f>DEC2HEX(Tabelle2[[#This Row],[Zeilennummer]]+1,2)</f>
        <v>60</v>
      </c>
      <c r="C9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::gCommInput.Array[95] AT %IW."8FLM01.0000.00I-1".EPL_FB_IN_95_I2007_S60;</v>
      </c>
    </row>
    <row r="98" spans="1:3" x14ac:dyDescent="0.25">
      <c r="A98">
        <f t="shared" si="4"/>
        <v>96</v>
      </c>
      <c r="B98" t="str">
        <f>DEC2HEX(Tabelle2[[#This Row],[Zeilennummer]]+1,2)</f>
        <v>61</v>
      </c>
      <c r="C9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::gCommInput.Array[96] AT %IW."8FLM01.0000.00I-1".EPL_FB_IN_96_I2007_S61;</v>
      </c>
    </row>
    <row r="99" spans="1:3" x14ac:dyDescent="0.25">
      <c r="A99">
        <f t="shared" si="4"/>
        <v>97</v>
      </c>
      <c r="B99" t="str">
        <f>DEC2HEX(Tabelle2[[#This Row],[Zeilennummer]]+1,2)</f>
        <v>62</v>
      </c>
      <c r="C9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::gCommInput.Array[97] AT %IW."8FLM01.0000.00I-1".EPL_FB_IN_97_I2007_S62;</v>
      </c>
    </row>
    <row r="100" spans="1:3" x14ac:dyDescent="0.25">
      <c r="A100">
        <f t="shared" si="4"/>
        <v>98</v>
      </c>
      <c r="B100" t="str">
        <f>DEC2HEX(Tabelle2[[#This Row],[Zeilennummer]]+1,2)</f>
        <v>63</v>
      </c>
      <c r="C10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::gCommInput.Array[98] AT %IW."8FLM01.0000.00I-1".EPL_FB_IN_98_I2007_S63;</v>
      </c>
    </row>
    <row r="101" spans="1:3" x14ac:dyDescent="0.25">
      <c r="A101">
        <f t="shared" si="4"/>
        <v>99</v>
      </c>
      <c r="B101" t="str">
        <f>DEC2HEX(Tabelle2[[#This Row],[Zeilennummer]]+1,2)</f>
        <v>64</v>
      </c>
      <c r="C10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::gCommInput.Array[99] AT %IW."8FLM01.0000.00I-1".EPL_FB_IN_99_I2007_S64;</v>
      </c>
    </row>
    <row r="102" spans="1:3" x14ac:dyDescent="0.25">
      <c r="A102">
        <f t="shared" si="4"/>
        <v>100</v>
      </c>
      <c r="B102" t="str">
        <f>DEC2HEX(Tabelle2[[#This Row],[Zeilennummer]]+1,2)</f>
        <v>65</v>
      </c>
      <c r="C10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::gCommInput.Array[100] AT %IW."8FLM01.0000.00I-1".EPL_FB_IN_100_I2007_S65;</v>
      </c>
    </row>
    <row r="103" spans="1:3" x14ac:dyDescent="0.25">
      <c r="A103">
        <f t="shared" si="4"/>
        <v>101</v>
      </c>
      <c r="B103" t="str">
        <f>DEC2HEX(Tabelle2[[#This Row],[Zeilennummer]]+1,2)</f>
        <v>66</v>
      </c>
      <c r="C10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::gCommInput.Array[101] AT %IW."8FLM01.0000.00I-1".EPL_FB_IN_101_I2007_S66;</v>
      </c>
    </row>
    <row r="104" spans="1:3" x14ac:dyDescent="0.25">
      <c r="A104">
        <f t="shared" si="4"/>
        <v>102</v>
      </c>
      <c r="B104" t="str">
        <f>DEC2HEX(Tabelle2[[#This Row],[Zeilennummer]]+1,2)</f>
        <v>67</v>
      </c>
      <c r="C10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::gCommInput.Array[102] AT %IW."8FLM01.0000.00I-1".EPL_FB_IN_102_I2007_S67;</v>
      </c>
    </row>
    <row r="105" spans="1:3" x14ac:dyDescent="0.25">
      <c r="A105">
        <f t="shared" si="4"/>
        <v>103</v>
      </c>
      <c r="B105" t="str">
        <f>DEC2HEX(Tabelle2[[#This Row],[Zeilennummer]]+1,2)</f>
        <v>68</v>
      </c>
      <c r="C10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::gCommInput.Array[103] AT %IW."8FLM01.0000.00I-1".EPL_FB_IN_103_I2007_S68;</v>
      </c>
    </row>
    <row r="106" spans="1:3" x14ac:dyDescent="0.25">
      <c r="A106">
        <f t="shared" si="4"/>
        <v>104</v>
      </c>
      <c r="B106" t="str">
        <f>DEC2HEX(Tabelle2[[#This Row],[Zeilennummer]]+1,2)</f>
        <v>69</v>
      </c>
      <c r="C10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::gCommInput.Array[104] AT %IW."8FLM01.0000.00I-1".EPL_FB_IN_104_I2007_S69;</v>
      </c>
    </row>
    <row r="107" spans="1:3" x14ac:dyDescent="0.25">
      <c r="A107">
        <f t="shared" si="4"/>
        <v>105</v>
      </c>
      <c r="B107" t="str">
        <f>DEC2HEX(Tabelle2[[#This Row],[Zeilennummer]]+1,2)</f>
        <v>6A</v>
      </c>
      <c r="C10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::gCommInput.Array[105] AT %IW."8FLM01.0000.00I-1".EPL_FB_IN_105_I2007_S6A;</v>
      </c>
    </row>
    <row r="108" spans="1:3" x14ac:dyDescent="0.25">
      <c r="A108">
        <f t="shared" si="4"/>
        <v>106</v>
      </c>
      <c r="B108" t="str">
        <f>DEC2HEX(Tabelle2[[#This Row],[Zeilennummer]]+1,2)</f>
        <v>6B</v>
      </c>
      <c r="C10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::gCommInput.Array[106] AT %IW."8FLM01.0000.00I-1".EPL_FB_IN_106_I2007_S6B;</v>
      </c>
    </row>
    <row r="109" spans="1:3" x14ac:dyDescent="0.25">
      <c r="A109">
        <f t="shared" si="4"/>
        <v>107</v>
      </c>
      <c r="B109" t="str">
        <f>DEC2HEX(Tabelle2[[#This Row],[Zeilennummer]]+1,2)</f>
        <v>6C</v>
      </c>
      <c r="C10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::gCommInput.Array[107] AT %IW."8FLM01.0000.00I-1".EPL_FB_IN_107_I2007_S6C;</v>
      </c>
    </row>
    <row r="110" spans="1:3" x14ac:dyDescent="0.25">
      <c r="A110">
        <f t="shared" si="4"/>
        <v>108</v>
      </c>
      <c r="B110" t="str">
        <f>DEC2HEX(Tabelle2[[#This Row],[Zeilennummer]]+1,2)</f>
        <v>6D</v>
      </c>
      <c r="C11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::gCommInput.Array[108] AT %IW."8FLM01.0000.00I-1".EPL_FB_IN_108_I2007_S6D;</v>
      </c>
    </row>
    <row r="111" spans="1:3" x14ac:dyDescent="0.25">
      <c r="A111">
        <f t="shared" si="4"/>
        <v>109</v>
      </c>
      <c r="B111" t="str">
        <f>DEC2HEX(Tabelle2[[#This Row],[Zeilennummer]]+1,2)</f>
        <v>6E</v>
      </c>
      <c r="C11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::gCommInput.Array[109] AT %IW."8FLM01.0000.00I-1".EPL_FB_IN_109_I2007_S6E;</v>
      </c>
    </row>
    <row r="112" spans="1:3" x14ac:dyDescent="0.25">
      <c r="A112">
        <f t="shared" si="4"/>
        <v>110</v>
      </c>
      <c r="B112" t="str">
        <f>DEC2HEX(Tabelle2[[#This Row],[Zeilennummer]]+1,2)</f>
        <v>6F</v>
      </c>
      <c r="C11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::gCommInput.Array[110] AT %IW."8FLM01.0000.00I-1".EPL_FB_IN_110_I2007_S6F;</v>
      </c>
    </row>
    <row r="113" spans="1:3" x14ac:dyDescent="0.25">
      <c r="A113">
        <f t="shared" si="4"/>
        <v>111</v>
      </c>
      <c r="B113" t="str">
        <f>DEC2HEX(Tabelle2[[#This Row],[Zeilennummer]]+1,2)</f>
        <v>70</v>
      </c>
      <c r="C11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::gCommInput.Array[111] AT %IW."8FLM01.0000.00I-1".EPL_FB_IN_111_I2007_S70;</v>
      </c>
    </row>
    <row r="114" spans="1:3" x14ac:dyDescent="0.25">
      <c r="A114">
        <f t="shared" si="4"/>
        <v>112</v>
      </c>
      <c r="B114" t="str">
        <f>DEC2HEX(Tabelle2[[#This Row],[Zeilennummer]]+1,2)</f>
        <v>71</v>
      </c>
      <c r="C11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::gCommInput.Array[112] AT %IW."8FLM01.0000.00I-1".EPL_FB_IN_112_I2007_S71;</v>
      </c>
    </row>
    <row r="115" spans="1:3" x14ac:dyDescent="0.25">
      <c r="A115">
        <f t="shared" si="4"/>
        <v>113</v>
      </c>
      <c r="B115" t="str">
        <f>DEC2HEX(Tabelle2[[#This Row],[Zeilennummer]]+1,2)</f>
        <v>72</v>
      </c>
      <c r="C11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::gCommInput.Array[113] AT %IW."8FLM01.0000.00I-1".EPL_FB_IN_113_I2007_S72;</v>
      </c>
    </row>
    <row r="116" spans="1:3" x14ac:dyDescent="0.25">
      <c r="A116">
        <f t="shared" si="4"/>
        <v>114</v>
      </c>
      <c r="B116" t="str">
        <f>DEC2HEX(Tabelle2[[#This Row],[Zeilennummer]]+1,2)</f>
        <v>73</v>
      </c>
      <c r="C11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::gCommInput.Array[114] AT %IW."8FLM01.0000.00I-1".EPL_FB_IN_114_I2007_S73;</v>
      </c>
    </row>
    <row r="117" spans="1:3" x14ac:dyDescent="0.25">
      <c r="A117">
        <f t="shared" si="4"/>
        <v>115</v>
      </c>
      <c r="B117" t="str">
        <f>DEC2HEX(Tabelle2[[#This Row],[Zeilennummer]]+1,2)</f>
        <v>74</v>
      </c>
      <c r="C11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::gCommInput.Array[115] AT %IW."8FLM01.0000.00I-1".EPL_FB_IN_115_I2007_S74;</v>
      </c>
    </row>
    <row r="118" spans="1:3" x14ac:dyDescent="0.25">
      <c r="A118">
        <f t="shared" si="4"/>
        <v>116</v>
      </c>
      <c r="B118" t="str">
        <f>DEC2HEX(Tabelle2[[#This Row],[Zeilennummer]]+1,2)</f>
        <v>75</v>
      </c>
      <c r="C11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::gCommInput.Array[116] AT %IW."8FLM01.0000.00I-1".EPL_FB_IN_116_I2007_S75;</v>
      </c>
    </row>
    <row r="119" spans="1:3" x14ac:dyDescent="0.25">
      <c r="A119">
        <f t="shared" si="4"/>
        <v>117</v>
      </c>
      <c r="B119" t="str">
        <f>DEC2HEX(Tabelle2[[#This Row],[Zeilennummer]]+1,2)</f>
        <v>76</v>
      </c>
      <c r="C11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::gCommInput.Array[117] AT %IW."8FLM01.0000.00I-1".EPL_FB_IN_117_I2007_S76;</v>
      </c>
    </row>
    <row r="120" spans="1:3" x14ac:dyDescent="0.25">
      <c r="A120">
        <f t="shared" si="4"/>
        <v>118</v>
      </c>
      <c r="B120" t="str">
        <f>DEC2HEX(Tabelle2[[#This Row],[Zeilennummer]]+1,2)</f>
        <v>77</v>
      </c>
      <c r="C12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::gCommInput.Array[118] AT %IW."8FLM01.0000.00I-1".EPL_FB_IN_118_I2007_S77;</v>
      </c>
    </row>
    <row r="121" spans="1:3" x14ac:dyDescent="0.25">
      <c r="A121">
        <f t="shared" si="4"/>
        <v>119</v>
      </c>
      <c r="B121" t="str">
        <f>DEC2HEX(Tabelle2[[#This Row],[Zeilennummer]]+1,2)</f>
        <v>78</v>
      </c>
      <c r="C12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::gCommInput.Array[119] AT %IW."8FLM01.0000.00I-1".EPL_FB_IN_119_I2007_S78;</v>
      </c>
    </row>
    <row r="122" spans="1:3" x14ac:dyDescent="0.25">
      <c r="A122">
        <f t="shared" si="4"/>
        <v>120</v>
      </c>
      <c r="B122" t="str">
        <f>DEC2HEX(Tabelle2[[#This Row],[Zeilennummer]]+1,2)</f>
        <v>79</v>
      </c>
      <c r="C12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::gCommInput.Array[120] AT %IW."8FLM01.0000.00I-1".EPL_FB_IN_120_I2007_S79;</v>
      </c>
    </row>
    <row r="123" spans="1:3" x14ac:dyDescent="0.25">
      <c r="A123">
        <f t="shared" si="4"/>
        <v>121</v>
      </c>
      <c r="B123" t="str">
        <f>DEC2HEX(Tabelle2[[#This Row],[Zeilennummer]]+1,2)</f>
        <v>7A</v>
      </c>
      <c r="C12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::gCommInput.Array[121] AT %IW."8FLM01.0000.00I-1".EPL_FB_IN_121_I2007_S7A;</v>
      </c>
    </row>
    <row r="124" spans="1:3" x14ac:dyDescent="0.25">
      <c r="A124">
        <f t="shared" si="4"/>
        <v>122</v>
      </c>
      <c r="B124" t="str">
        <f>DEC2HEX(Tabelle2[[#This Row],[Zeilennummer]]+1,2)</f>
        <v>7B</v>
      </c>
      <c r="C12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::gCommInput.Array[122] AT %IW."8FLM01.0000.00I-1".EPL_FB_IN_122_I2007_S7B;</v>
      </c>
    </row>
    <row r="125" spans="1:3" x14ac:dyDescent="0.25">
      <c r="A125">
        <f t="shared" si="4"/>
        <v>123</v>
      </c>
      <c r="B125" t="str">
        <f>DEC2HEX(Tabelle2[[#This Row],[Zeilennummer]]+1,2)</f>
        <v>7C</v>
      </c>
      <c r="C12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::gCommInput.Array[123] AT %IW."8FLM01.0000.00I-1".EPL_FB_IN_123_I2007_S7C;</v>
      </c>
    </row>
    <row r="126" spans="1:3" x14ac:dyDescent="0.25">
      <c r="A126">
        <f t="shared" si="4"/>
        <v>124</v>
      </c>
      <c r="B126" t="str">
        <f>DEC2HEX(Tabelle2[[#This Row],[Zeilennummer]]+1,2)</f>
        <v>7D</v>
      </c>
      <c r="C12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::gCommInput.Array[124] AT %IW."8FLM01.0000.00I-1".EPL_FB_IN_124_I2007_S7D;</v>
      </c>
    </row>
    <row r="127" spans="1:3" x14ac:dyDescent="0.25">
      <c r="A127">
        <f t="shared" ref="A127:A158" si="5">ROW()-2</f>
        <v>125</v>
      </c>
      <c r="B127" t="str">
        <f>DEC2HEX(Tabelle2[[#This Row],[Zeilennummer]]+1,2)</f>
        <v>7E</v>
      </c>
      <c r="C12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::gCommInput.Array[125] AT %IW."8FLM01.0000.00I-1".EPL_FB_IN_125_I2007_S7E;</v>
      </c>
    </row>
    <row r="128" spans="1:3" x14ac:dyDescent="0.25">
      <c r="A128">
        <f t="shared" si="5"/>
        <v>126</v>
      </c>
      <c r="B128" t="str">
        <f>DEC2HEX(Tabelle2[[#This Row],[Zeilennummer]]+1,2)</f>
        <v>7F</v>
      </c>
      <c r="C12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::gCommInput.Array[126] AT %IW."8FLM01.0000.00I-1".EPL_FB_IN_126_I2007_S7F;</v>
      </c>
    </row>
    <row r="129" spans="1:3" x14ac:dyDescent="0.25">
      <c r="A129">
        <f t="shared" si="5"/>
        <v>127</v>
      </c>
      <c r="B129" t="str">
        <f>DEC2HEX(Tabelle2[[#This Row],[Zeilennummer]]+1,2)</f>
        <v>80</v>
      </c>
      <c r="C12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::gCommInput.Array[127] AT %IW."8FLM01.0000.00I-1".EPL_FB_IN_127_I2007_S80;</v>
      </c>
    </row>
    <row r="130" spans="1:3" x14ac:dyDescent="0.25">
      <c r="A130">
        <f t="shared" si="5"/>
        <v>128</v>
      </c>
      <c r="B130" t="str">
        <f>DEC2HEX(Tabelle2[[#This Row],[Zeilennummer]]+1,2)</f>
        <v>81</v>
      </c>
      <c r="C13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::gCommInput.Array[128] AT %IW."8FLM01.0000.00I-1".EPL_FB_IN_128_I2007_S81;</v>
      </c>
    </row>
    <row r="131" spans="1:3" x14ac:dyDescent="0.25">
      <c r="A131">
        <f t="shared" si="5"/>
        <v>129</v>
      </c>
      <c r="B131" t="str">
        <f>DEC2HEX(Tabelle2[[#This Row],[Zeilennummer]]+1,2)</f>
        <v>82</v>
      </c>
      <c r="C13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::gCommInput.Array[129] AT %IW."8FLM01.0000.00I-1".EPL_FB_IN_129_I2007_S82;</v>
      </c>
    </row>
    <row r="132" spans="1:3" x14ac:dyDescent="0.25">
      <c r="A132">
        <f t="shared" si="5"/>
        <v>130</v>
      </c>
      <c r="B132" t="str">
        <f>DEC2HEX(Tabelle2[[#This Row],[Zeilennummer]]+1,2)</f>
        <v>83</v>
      </c>
      <c r="C13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::gCommInput.Array[130] AT %IW."8FLM01.0000.00I-1".EPL_FB_IN_130_I2007_S83;</v>
      </c>
    </row>
    <row r="133" spans="1:3" x14ac:dyDescent="0.25">
      <c r="A133">
        <f t="shared" si="5"/>
        <v>131</v>
      </c>
      <c r="B133" t="str">
        <f>DEC2HEX(Tabelle2[[#This Row],[Zeilennummer]]+1,2)</f>
        <v>84</v>
      </c>
      <c r="C13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::gCommInput.Array[131] AT %IW."8FLM01.0000.00I-1".EPL_FB_IN_131_I2007_S84;</v>
      </c>
    </row>
    <row r="134" spans="1:3" x14ac:dyDescent="0.25">
      <c r="A134">
        <f t="shared" si="5"/>
        <v>132</v>
      </c>
      <c r="B134" t="str">
        <f>DEC2HEX(Tabelle2[[#This Row],[Zeilennummer]]+1,2)</f>
        <v>85</v>
      </c>
      <c r="C13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::gCommInput.Array[132] AT %IW."8FLM01.0000.00I-1".EPL_FB_IN_132_I2007_S85;</v>
      </c>
    </row>
    <row r="135" spans="1:3" x14ac:dyDescent="0.25">
      <c r="A135">
        <f t="shared" si="5"/>
        <v>133</v>
      </c>
      <c r="B135" t="str">
        <f>DEC2HEX(Tabelle2[[#This Row],[Zeilennummer]]+1,2)</f>
        <v>86</v>
      </c>
      <c r="C13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::gCommInput.Array[133] AT %IW."8FLM01.0000.00I-1".EPL_FB_IN_133_I2007_S86;</v>
      </c>
    </row>
    <row r="136" spans="1:3" x14ac:dyDescent="0.25">
      <c r="A136">
        <f t="shared" si="5"/>
        <v>134</v>
      </c>
      <c r="B136" t="str">
        <f>DEC2HEX(Tabelle2[[#This Row],[Zeilennummer]]+1,2)</f>
        <v>87</v>
      </c>
      <c r="C13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::gCommInput.Array[134] AT %IW."8FLM01.0000.00I-1".EPL_FB_IN_134_I2007_S87;</v>
      </c>
    </row>
    <row r="137" spans="1:3" x14ac:dyDescent="0.25">
      <c r="A137">
        <f t="shared" si="5"/>
        <v>135</v>
      </c>
      <c r="B137" t="str">
        <f>DEC2HEX(Tabelle2[[#This Row],[Zeilennummer]]+1,2)</f>
        <v>88</v>
      </c>
      <c r="C13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::gCommInput.Array[135] AT %IW."8FLM01.0000.00I-1".EPL_FB_IN_135_I2007_S88;</v>
      </c>
    </row>
    <row r="138" spans="1:3" x14ac:dyDescent="0.25">
      <c r="A138">
        <f t="shared" si="5"/>
        <v>136</v>
      </c>
      <c r="B138" t="str">
        <f>DEC2HEX(Tabelle2[[#This Row],[Zeilennummer]]+1,2)</f>
        <v>89</v>
      </c>
      <c r="C13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::gCommInput.Array[136] AT %IW."8FLM01.0000.00I-1".EPL_FB_IN_136_I2007_S89;</v>
      </c>
    </row>
    <row r="139" spans="1:3" x14ac:dyDescent="0.25">
      <c r="A139">
        <f t="shared" si="5"/>
        <v>137</v>
      </c>
      <c r="B139" t="str">
        <f>DEC2HEX(Tabelle2[[#This Row],[Zeilennummer]]+1,2)</f>
        <v>8A</v>
      </c>
      <c r="C13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::gCommInput.Array[137] AT %IW."8FLM01.0000.00I-1".EPL_FB_IN_137_I2007_S8A;</v>
      </c>
    </row>
    <row r="140" spans="1:3" x14ac:dyDescent="0.25">
      <c r="A140">
        <f t="shared" si="5"/>
        <v>138</v>
      </c>
      <c r="B140" t="str">
        <f>DEC2HEX(Tabelle2[[#This Row],[Zeilennummer]]+1,2)</f>
        <v>8B</v>
      </c>
      <c r="C14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::gCommInput.Array[138] AT %IW."8FLM01.0000.00I-1".EPL_FB_IN_138_I2007_S8B;</v>
      </c>
    </row>
    <row r="141" spans="1:3" x14ac:dyDescent="0.25">
      <c r="A141">
        <f t="shared" si="5"/>
        <v>139</v>
      </c>
      <c r="B141" t="str">
        <f>DEC2HEX(Tabelle2[[#This Row],[Zeilennummer]]+1,2)</f>
        <v>8C</v>
      </c>
      <c r="C14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::gCommInput.Array[139] AT %IW."8FLM01.0000.00I-1".EPL_FB_IN_139_I2007_S8C;</v>
      </c>
    </row>
    <row r="142" spans="1:3" x14ac:dyDescent="0.25">
      <c r="A142">
        <f t="shared" si="5"/>
        <v>140</v>
      </c>
      <c r="B142" t="str">
        <f>DEC2HEX(Tabelle2[[#This Row],[Zeilennummer]]+1,2)</f>
        <v>8D</v>
      </c>
      <c r="C14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::gCommInput.Array[140] AT %IW."8FLM01.0000.00I-1".EPL_FB_IN_140_I2007_S8D;</v>
      </c>
    </row>
    <row r="143" spans="1:3" x14ac:dyDescent="0.25">
      <c r="A143">
        <f t="shared" si="5"/>
        <v>141</v>
      </c>
      <c r="B143" t="str">
        <f>DEC2HEX(Tabelle2[[#This Row],[Zeilennummer]]+1,2)</f>
        <v>8E</v>
      </c>
      <c r="C14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::gCommInput.Array[141] AT %IW."8FLM01.0000.00I-1".EPL_FB_IN_141_I2007_S8E;</v>
      </c>
    </row>
    <row r="144" spans="1:3" x14ac:dyDescent="0.25">
      <c r="A144">
        <f t="shared" si="5"/>
        <v>142</v>
      </c>
      <c r="B144" t="str">
        <f>DEC2HEX(Tabelle2[[#This Row],[Zeilennummer]]+1,2)</f>
        <v>8F</v>
      </c>
      <c r="C14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::gCommInput.Array[142] AT %IW."8FLM01.0000.00I-1".EPL_FB_IN_142_I2007_S8F;</v>
      </c>
    </row>
    <row r="145" spans="1:3" x14ac:dyDescent="0.25">
      <c r="A145">
        <f t="shared" si="5"/>
        <v>143</v>
      </c>
      <c r="B145" t="str">
        <f>DEC2HEX(Tabelle2[[#This Row],[Zeilennummer]]+1,2)</f>
        <v>90</v>
      </c>
      <c r="C14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::gCommInput.Array[143] AT %IW."8FLM01.0000.00I-1".EPL_FB_IN_143_I2007_S90;</v>
      </c>
    </row>
    <row r="146" spans="1:3" x14ac:dyDescent="0.25">
      <c r="A146">
        <f t="shared" si="5"/>
        <v>144</v>
      </c>
      <c r="B146" t="str">
        <f>DEC2HEX(Tabelle2[[#This Row],[Zeilennummer]]+1,2)</f>
        <v>91</v>
      </c>
      <c r="C14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::gCommInput.Array[144] AT %IW."8FLM01.0000.00I-1".EPL_FB_IN_144_I2007_S91;</v>
      </c>
    </row>
    <row r="147" spans="1:3" x14ac:dyDescent="0.25">
      <c r="A147">
        <f t="shared" si="5"/>
        <v>145</v>
      </c>
      <c r="B147" t="str">
        <f>DEC2HEX(Tabelle2[[#This Row],[Zeilennummer]]+1,2)</f>
        <v>92</v>
      </c>
      <c r="C14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::gCommInput.Array[145] AT %IW."8FLM01.0000.00I-1".EPL_FB_IN_145_I2007_S92;</v>
      </c>
    </row>
    <row r="148" spans="1:3" x14ac:dyDescent="0.25">
      <c r="A148">
        <f t="shared" si="5"/>
        <v>146</v>
      </c>
      <c r="B148" t="str">
        <f>DEC2HEX(Tabelle2[[#This Row],[Zeilennummer]]+1,2)</f>
        <v>93</v>
      </c>
      <c r="C14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::gCommInput.Array[146] AT %IW."8FLM01.0000.00I-1".EPL_FB_IN_146_I2007_S93;</v>
      </c>
    </row>
    <row r="149" spans="1:3" x14ac:dyDescent="0.25">
      <c r="A149">
        <f t="shared" si="5"/>
        <v>147</v>
      </c>
      <c r="B149" t="str">
        <f>DEC2HEX(Tabelle2[[#This Row],[Zeilennummer]]+1,2)</f>
        <v>94</v>
      </c>
      <c r="C14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::gCommInput.Array[147] AT %IW."8FLM01.0000.00I-1".EPL_FB_IN_147_I2007_S94;</v>
      </c>
    </row>
    <row r="150" spans="1:3" x14ac:dyDescent="0.25">
      <c r="A150">
        <f t="shared" si="5"/>
        <v>148</v>
      </c>
      <c r="B150" t="str">
        <f>DEC2HEX(Tabelle2[[#This Row],[Zeilennummer]]+1,2)</f>
        <v>95</v>
      </c>
      <c r="C15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::gCommInput.Array[148] AT %IW."8FLM01.0000.00I-1".EPL_FB_IN_148_I2007_S95;</v>
      </c>
    </row>
    <row r="151" spans="1:3" x14ac:dyDescent="0.25">
      <c r="A151">
        <f t="shared" si="5"/>
        <v>149</v>
      </c>
      <c r="B151" t="str">
        <f>DEC2HEX(Tabelle2[[#This Row],[Zeilennummer]]+1,2)</f>
        <v>96</v>
      </c>
      <c r="C15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::gCommInput.Array[149] AT %IW."8FLM01.0000.00I-1".EPL_FB_IN_149_I2007_S96;</v>
      </c>
    </row>
    <row r="152" spans="1:3" x14ac:dyDescent="0.25">
      <c r="A152">
        <f t="shared" si="5"/>
        <v>150</v>
      </c>
      <c r="B152" t="str">
        <f>DEC2HEX(Tabelle2[[#This Row],[Zeilennummer]]+1,2)</f>
        <v>97</v>
      </c>
      <c r="C15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::gCommInput.Array[150] AT %IW."8FLM01.0000.00I-1".EPL_FB_IN_150_I2007_S97;</v>
      </c>
    </row>
    <row r="153" spans="1:3" x14ac:dyDescent="0.25">
      <c r="A153">
        <f t="shared" si="5"/>
        <v>151</v>
      </c>
      <c r="B153" t="str">
        <f>DEC2HEX(Tabelle2[[#This Row],[Zeilennummer]]+1,2)</f>
        <v>98</v>
      </c>
      <c r="C15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::gCommInput.Array[151] AT %IW."8FLM01.0000.00I-1".EPL_FB_IN_151_I2007_S98;</v>
      </c>
    </row>
    <row r="154" spans="1:3" x14ac:dyDescent="0.25">
      <c r="A154">
        <f t="shared" si="5"/>
        <v>152</v>
      </c>
      <c r="B154" t="str">
        <f>DEC2HEX(Tabelle2[[#This Row],[Zeilennummer]]+1,2)</f>
        <v>99</v>
      </c>
      <c r="C15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::gCommInput.Array[152] AT %IW."8FLM01.0000.00I-1".EPL_FB_IN_152_I2007_S99;</v>
      </c>
    </row>
    <row r="155" spans="1:3" x14ac:dyDescent="0.25">
      <c r="A155">
        <f t="shared" si="5"/>
        <v>153</v>
      </c>
      <c r="B155" t="str">
        <f>DEC2HEX(Tabelle2[[#This Row],[Zeilennummer]]+1,2)</f>
        <v>9A</v>
      </c>
      <c r="C15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::gCommInput.Array[153] AT %IW."8FLM01.0000.00I-1".EPL_FB_IN_153_I2007_S9A;</v>
      </c>
    </row>
    <row r="156" spans="1:3" x14ac:dyDescent="0.25">
      <c r="A156">
        <f t="shared" si="5"/>
        <v>154</v>
      </c>
      <c r="B156" t="str">
        <f>DEC2HEX(Tabelle2[[#This Row],[Zeilennummer]]+1,2)</f>
        <v>9B</v>
      </c>
      <c r="C15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::gCommInput.Array[154] AT %IW."8FLM01.0000.00I-1".EPL_FB_IN_154_I2007_S9B;</v>
      </c>
    </row>
    <row r="157" spans="1:3" x14ac:dyDescent="0.25">
      <c r="A157">
        <f t="shared" si="5"/>
        <v>155</v>
      </c>
      <c r="B157" t="str">
        <f>DEC2HEX(Tabelle2[[#This Row],[Zeilennummer]]+1,2)</f>
        <v>9C</v>
      </c>
      <c r="C15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::gCommInput.Array[155] AT %IW."8FLM01.0000.00I-1".EPL_FB_IN_155_I2007_S9C;</v>
      </c>
    </row>
    <row r="158" spans="1:3" x14ac:dyDescent="0.25">
      <c r="A158">
        <f t="shared" si="5"/>
        <v>156</v>
      </c>
      <c r="B158" t="str">
        <f>DEC2HEX(Tabelle2[[#This Row],[Zeilennummer]]+1,2)</f>
        <v>9D</v>
      </c>
      <c r="C15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::gCommInput.Array[156] AT %IW."8FLM01.0000.00I-1".EPL_FB_IN_156_I2007_S9D;</v>
      </c>
    </row>
    <row r="159" spans="1:3" x14ac:dyDescent="0.25">
      <c r="A159">
        <f t="shared" ref="A159:A190" si="6">ROW()-2</f>
        <v>157</v>
      </c>
      <c r="B159" t="str">
        <f>DEC2HEX(Tabelle2[[#This Row],[Zeilennummer]]+1,2)</f>
        <v>9E</v>
      </c>
      <c r="C15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::gCommInput.Array[157] AT %IW."8FLM01.0000.00I-1".EPL_FB_IN_157_I2007_S9E;</v>
      </c>
    </row>
    <row r="160" spans="1:3" x14ac:dyDescent="0.25">
      <c r="A160">
        <f t="shared" si="6"/>
        <v>158</v>
      </c>
      <c r="B160" t="str">
        <f>DEC2HEX(Tabelle2[[#This Row],[Zeilennummer]]+1,2)</f>
        <v>9F</v>
      </c>
      <c r="C16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::gCommInput.Array[158] AT %IW."8FLM01.0000.00I-1".EPL_FB_IN_158_I2007_S9F;</v>
      </c>
    </row>
    <row r="161" spans="1:3" x14ac:dyDescent="0.25">
      <c r="A161">
        <f t="shared" si="6"/>
        <v>159</v>
      </c>
      <c r="B161" t="str">
        <f>DEC2HEX(Tabelle2[[#This Row],[Zeilennummer]]+1,2)</f>
        <v>A0</v>
      </c>
      <c r="C16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::gCommInput.Array[159] AT %IW."8FLM01.0000.00I-1".EPL_FB_IN_159_I2007_SA0;</v>
      </c>
    </row>
    <row r="162" spans="1:3" x14ac:dyDescent="0.25">
      <c r="A162">
        <f t="shared" si="6"/>
        <v>160</v>
      </c>
      <c r="B162" t="str">
        <f>DEC2HEX(Tabelle2[[#This Row],[Zeilennummer]]+1,2)</f>
        <v>A1</v>
      </c>
      <c r="C16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::gCommInput.Array[160] AT %IW."8FLM01.0000.00I-1".EPL_FB_IN_160_I2007_SA1;</v>
      </c>
    </row>
    <row r="163" spans="1:3" x14ac:dyDescent="0.25">
      <c r="A163">
        <f t="shared" si="6"/>
        <v>161</v>
      </c>
      <c r="B163" t="str">
        <f>DEC2HEX(Tabelle2[[#This Row],[Zeilennummer]]+1,2)</f>
        <v>A2</v>
      </c>
      <c r="C16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::gCommInput.Array[161] AT %IW."8FLM01.0000.00I-1".EPL_FB_IN_161_I2007_SA2;</v>
      </c>
    </row>
    <row r="164" spans="1:3" x14ac:dyDescent="0.25">
      <c r="A164">
        <f t="shared" si="6"/>
        <v>162</v>
      </c>
      <c r="B164" t="str">
        <f>DEC2HEX(Tabelle2[[#This Row],[Zeilennummer]]+1,2)</f>
        <v>A3</v>
      </c>
      <c r="C16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::gCommInput.Array[162] AT %IW."8FLM01.0000.00I-1".EPL_FB_IN_162_I2007_SA3;</v>
      </c>
    </row>
    <row r="165" spans="1:3" x14ac:dyDescent="0.25">
      <c r="A165">
        <f t="shared" si="6"/>
        <v>163</v>
      </c>
      <c r="B165" t="str">
        <f>DEC2HEX(Tabelle2[[#This Row],[Zeilennummer]]+1,2)</f>
        <v>A4</v>
      </c>
      <c r="C16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::gCommInput.Array[163] AT %IW."8FLM01.0000.00I-1".EPL_FB_IN_163_I2007_SA4;</v>
      </c>
    </row>
    <row r="166" spans="1:3" x14ac:dyDescent="0.25">
      <c r="A166">
        <f t="shared" si="6"/>
        <v>164</v>
      </c>
      <c r="B166" t="str">
        <f>DEC2HEX(Tabelle2[[#This Row],[Zeilennummer]]+1,2)</f>
        <v>A5</v>
      </c>
      <c r="C16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::gCommInput.Array[164] AT %IW."8FLM01.0000.00I-1".EPL_FB_IN_164_I2007_SA5;</v>
      </c>
    </row>
    <row r="167" spans="1:3" x14ac:dyDescent="0.25">
      <c r="A167">
        <f t="shared" si="6"/>
        <v>165</v>
      </c>
      <c r="B167" t="str">
        <f>DEC2HEX(Tabelle2[[#This Row],[Zeilennummer]]+1,2)</f>
        <v>A6</v>
      </c>
      <c r="C16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::gCommInput.Array[165] AT %IW."8FLM01.0000.00I-1".EPL_FB_IN_165_I2007_SA6;</v>
      </c>
    </row>
    <row r="168" spans="1:3" x14ac:dyDescent="0.25">
      <c r="A168">
        <f t="shared" si="6"/>
        <v>166</v>
      </c>
      <c r="B168" t="str">
        <f>DEC2HEX(Tabelle2[[#This Row],[Zeilennummer]]+1,2)</f>
        <v>A7</v>
      </c>
      <c r="C16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::gCommInput.Array[166] AT %IW."8FLM01.0000.00I-1".EPL_FB_IN_166_I2007_SA7;</v>
      </c>
    </row>
    <row r="169" spans="1:3" x14ac:dyDescent="0.25">
      <c r="A169">
        <f t="shared" si="6"/>
        <v>167</v>
      </c>
      <c r="B169" t="str">
        <f>DEC2HEX(Tabelle2[[#This Row],[Zeilennummer]]+1,2)</f>
        <v>A8</v>
      </c>
      <c r="C16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::gCommInput.Array[167] AT %IW."8FLM01.0000.00I-1".EPL_FB_IN_167_I2007_SA8;</v>
      </c>
    </row>
    <row r="170" spans="1:3" x14ac:dyDescent="0.25">
      <c r="A170">
        <f t="shared" si="6"/>
        <v>168</v>
      </c>
      <c r="B170" t="str">
        <f>DEC2HEX(Tabelle2[[#This Row],[Zeilennummer]]+1,2)</f>
        <v>A9</v>
      </c>
      <c r="C17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::gCommInput.Array[168] AT %IW."8FLM01.0000.00I-1".EPL_FB_IN_168_I2007_SA9;</v>
      </c>
    </row>
    <row r="171" spans="1:3" x14ac:dyDescent="0.25">
      <c r="A171">
        <f t="shared" si="6"/>
        <v>169</v>
      </c>
      <c r="B171" t="str">
        <f>DEC2HEX(Tabelle2[[#This Row],[Zeilennummer]]+1,2)</f>
        <v>AA</v>
      </c>
      <c r="C17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::gCommInput.Array[169] AT %IW."8FLM01.0000.00I-1".EPL_FB_IN_169_I2007_SAA;</v>
      </c>
    </row>
    <row r="172" spans="1:3" x14ac:dyDescent="0.25">
      <c r="A172">
        <f t="shared" si="6"/>
        <v>170</v>
      </c>
      <c r="B172" t="str">
        <f>DEC2HEX(Tabelle2[[#This Row],[Zeilennummer]]+1,2)</f>
        <v>AB</v>
      </c>
      <c r="C17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::gCommInput.Array[170] AT %IW."8FLM01.0000.00I-1".EPL_FB_IN_170_I2007_SAB;</v>
      </c>
    </row>
    <row r="173" spans="1:3" x14ac:dyDescent="0.25">
      <c r="A173">
        <f t="shared" si="6"/>
        <v>171</v>
      </c>
      <c r="B173" t="str">
        <f>DEC2HEX(Tabelle2[[#This Row],[Zeilennummer]]+1,2)</f>
        <v>AC</v>
      </c>
      <c r="C17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::gCommInput.Array[171] AT %IW."8FLM01.0000.00I-1".EPL_FB_IN_171_I2007_SAC;</v>
      </c>
    </row>
    <row r="174" spans="1:3" x14ac:dyDescent="0.25">
      <c r="A174">
        <f t="shared" si="6"/>
        <v>172</v>
      </c>
      <c r="B174" t="str">
        <f>DEC2HEX(Tabelle2[[#This Row],[Zeilennummer]]+1,2)</f>
        <v>AD</v>
      </c>
      <c r="C17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::gCommInput.Array[172] AT %IW."8FLM01.0000.00I-1".EPL_FB_IN_172_I2007_SAD;</v>
      </c>
    </row>
    <row r="175" spans="1:3" x14ac:dyDescent="0.25">
      <c r="A175">
        <f t="shared" si="6"/>
        <v>173</v>
      </c>
      <c r="B175" t="str">
        <f>DEC2HEX(Tabelle2[[#This Row],[Zeilennummer]]+1,2)</f>
        <v>AE</v>
      </c>
      <c r="C17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::gCommInput.Array[173] AT %IW."8FLM01.0000.00I-1".EPL_FB_IN_173_I2007_SAE;</v>
      </c>
    </row>
    <row r="176" spans="1:3" x14ac:dyDescent="0.25">
      <c r="A176">
        <f t="shared" si="6"/>
        <v>174</v>
      </c>
      <c r="B176" t="str">
        <f>DEC2HEX(Tabelle2[[#This Row],[Zeilennummer]]+1,2)</f>
        <v>AF</v>
      </c>
      <c r="C17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::gCommInput.Array[174] AT %IW."8FLM01.0000.00I-1".EPL_FB_IN_174_I2007_SAF;</v>
      </c>
    </row>
    <row r="177" spans="1:3" x14ac:dyDescent="0.25">
      <c r="A177">
        <f t="shared" si="6"/>
        <v>175</v>
      </c>
      <c r="B177" t="str">
        <f>DEC2HEX(Tabelle2[[#This Row],[Zeilennummer]]+1,2)</f>
        <v>B0</v>
      </c>
      <c r="C17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::gCommInput.Array[175] AT %IW."8FLM01.0000.00I-1".EPL_FB_IN_175_I2007_SB0;</v>
      </c>
    </row>
    <row r="178" spans="1:3" x14ac:dyDescent="0.25">
      <c r="A178">
        <f t="shared" si="6"/>
        <v>176</v>
      </c>
      <c r="B178" t="str">
        <f>DEC2HEX(Tabelle2[[#This Row],[Zeilennummer]]+1,2)</f>
        <v>B1</v>
      </c>
      <c r="C17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::gCommInput.Array[176] AT %IW."8FLM01.0000.00I-1".EPL_FB_IN_176_I2007_SB1;</v>
      </c>
    </row>
    <row r="179" spans="1:3" x14ac:dyDescent="0.25">
      <c r="A179">
        <f t="shared" si="6"/>
        <v>177</v>
      </c>
      <c r="B179" t="str">
        <f>DEC2HEX(Tabelle2[[#This Row],[Zeilennummer]]+1,2)</f>
        <v>B2</v>
      </c>
      <c r="C17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::gCommInput.Array[177] AT %IW."8FLM01.0000.00I-1".EPL_FB_IN_177_I2007_SB2;</v>
      </c>
    </row>
    <row r="180" spans="1:3" x14ac:dyDescent="0.25">
      <c r="A180">
        <f t="shared" si="6"/>
        <v>178</v>
      </c>
      <c r="B180" t="str">
        <f>DEC2HEX(Tabelle2[[#This Row],[Zeilennummer]]+1,2)</f>
        <v>B3</v>
      </c>
      <c r="C18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::gCommInput.Array[178] AT %IW."8FLM01.0000.00I-1".EPL_FB_IN_178_I2007_SB3;</v>
      </c>
    </row>
    <row r="181" spans="1:3" x14ac:dyDescent="0.25">
      <c r="A181">
        <f t="shared" si="6"/>
        <v>179</v>
      </c>
      <c r="B181" t="str">
        <f>DEC2HEX(Tabelle2[[#This Row],[Zeilennummer]]+1,2)</f>
        <v>B4</v>
      </c>
      <c r="C18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::gCommInput.Array[179] AT %IW."8FLM01.0000.00I-1".EPL_FB_IN_179_I2007_SB4;</v>
      </c>
    </row>
    <row r="182" spans="1:3" x14ac:dyDescent="0.25">
      <c r="A182">
        <f t="shared" si="6"/>
        <v>180</v>
      </c>
      <c r="B182" t="str">
        <f>DEC2HEX(Tabelle2[[#This Row],[Zeilennummer]]+1,2)</f>
        <v>B5</v>
      </c>
      <c r="C18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::gCommInput.Array[180] AT %IW."8FLM01.0000.00I-1".EPL_FB_IN_180_I2007_SB5;</v>
      </c>
    </row>
    <row r="183" spans="1:3" x14ac:dyDescent="0.25">
      <c r="A183">
        <f t="shared" si="6"/>
        <v>181</v>
      </c>
      <c r="B183" t="str">
        <f>DEC2HEX(Tabelle2[[#This Row],[Zeilennummer]]+1,2)</f>
        <v>B6</v>
      </c>
      <c r="C18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::gCommInput.Array[181] AT %IW."8FLM01.0000.00I-1".EPL_FB_IN_181_I2007_SB6;</v>
      </c>
    </row>
    <row r="184" spans="1:3" x14ac:dyDescent="0.25">
      <c r="A184">
        <f t="shared" si="6"/>
        <v>182</v>
      </c>
      <c r="B184" t="str">
        <f>DEC2HEX(Tabelle2[[#This Row],[Zeilennummer]]+1,2)</f>
        <v>B7</v>
      </c>
      <c r="C18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::gCommInput.Array[182] AT %IW."8FLM01.0000.00I-1".EPL_FB_IN_182_I2007_SB7;</v>
      </c>
    </row>
    <row r="185" spans="1:3" x14ac:dyDescent="0.25">
      <c r="A185">
        <f t="shared" si="6"/>
        <v>183</v>
      </c>
      <c r="B185" t="str">
        <f>DEC2HEX(Tabelle2[[#This Row],[Zeilennummer]]+1,2)</f>
        <v>B8</v>
      </c>
      <c r="C18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::gCommInput.Array[183] AT %IW."8FLM01.0000.00I-1".EPL_FB_IN_183_I2007_SB8;</v>
      </c>
    </row>
    <row r="186" spans="1:3" x14ac:dyDescent="0.25">
      <c r="A186">
        <f t="shared" si="6"/>
        <v>184</v>
      </c>
      <c r="B186" t="str">
        <f>DEC2HEX(Tabelle2[[#This Row],[Zeilennummer]]+1,2)</f>
        <v>B9</v>
      </c>
      <c r="C18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::gCommInput.Array[184] AT %IW."8FLM01.0000.00I-1".EPL_FB_IN_184_I2007_SB9;</v>
      </c>
    </row>
    <row r="187" spans="1:3" x14ac:dyDescent="0.25">
      <c r="A187">
        <f t="shared" si="6"/>
        <v>185</v>
      </c>
      <c r="B187" t="str">
        <f>DEC2HEX(Tabelle2[[#This Row],[Zeilennummer]]+1,2)</f>
        <v>BA</v>
      </c>
      <c r="C18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::gCommInput.Array[185] AT %IW."8FLM01.0000.00I-1".EPL_FB_IN_185_I2007_SBA;</v>
      </c>
    </row>
    <row r="188" spans="1:3" x14ac:dyDescent="0.25">
      <c r="A188">
        <f t="shared" si="6"/>
        <v>186</v>
      </c>
      <c r="B188" t="str">
        <f>DEC2HEX(Tabelle2[[#This Row],[Zeilennummer]]+1,2)</f>
        <v>BB</v>
      </c>
      <c r="C18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::gCommInput.Array[186] AT %IW."8FLM01.0000.00I-1".EPL_FB_IN_186_I2007_SBB;</v>
      </c>
    </row>
    <row r="189" spans="1:3" x14ac:dyDescent="0.25">
      <c r="A189">
        <f t="shared" si="6"/>
        <v>187</v>
      </c>
      <c r="B189" t="str">
        <f>DEC2HEX(Tabelle2[[#This Row],[Zeilennummer]]+1,2)</f>
        <v>BC</v>
      </c>
      <c r="C18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::gCommInput.Array[187] AT %IW."8FLM01.0000.00I-1".EPL_FB_IN_187_I2007_SBC;</v>
      </c>
    </row>
    <row r="190" spans="1:3" x14ac:dyDescent="0.25">
      <c r="A190">
        <f t="shared" si="6"/>
        <v>188</v>
      </c>
      <c r="B190" t="str">
        <f>DEC2HEX(Tabelle2[[#This Row],[Zeilennummer]]+1,2)</f>
        <v>BD</v>
      </c>
      <c r="C19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::gCommInput.Array[188] AT %IW."8FLM01.0000.00I-1".EPL_FB_IN_188_I2007_SBD;</v>
      </c>
    </row>
    <row r="191" spans="1:3" x14ac:dyDescent="0.25">
      <c r="A191">
        <f t="shared" ref="A191:A200" si="7">ROW()-2</f>
        <v>189</v>
      </c>
      <c r="B191" t="str">
        <f>DEC2HEX(Tabelle2[[#This Row],[Zeilennummer]]+1,2)</f>
        <v>BE</v>
      </c>
      <c r="C19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::gCommInput.Array[189] AT %IW."8FLM01.0000.00I-1".EPL_FB_IN_189_I2007_SBE;</v>
      </c>
    </row>
    <row r="192" spans="1:3" x14ac:dyDescent="0.25">
      <c r="A192">
        <f t="shared" si="7"/>
        <v>190</v>
      </c>
      <c r="B192" t="str">
        <f>DEC2HEX(Tabelle2[[#This Row],[Zeilennummer]]+1,2)</f>
        <v>BF</v>
      </c>
      <c r="C192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::gCommInput.Array[190] AT %IW."8FLM01.0000.00I-1".EPL_FB_IN_190_I2007_SBF;</v>
      </c>
    </row>
    <row r="193" spans="1:3" x14ac:dyDescent="0.25">
      <c r="A193">
        <f t="shared" si="7"/>
        <v>191</v>
      </c>
      <c r="B193" t="str">
        <f>DEC2HEX(Tabelle2[[#This Row],[Zeilennummer]]+1,2)</f>
        <v>C0</v>
      </c>
      <c r="C193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::gCommInput.Array[191] AT %IW."8FLM01.0000.00I-1".EPL_FB_IN_191_I2007_SC0;</v>
      </c>
    </row>
    <row r="194" spans="1:3" x14ac:dyDescent="0.25">
      <c r="A194">
        <f t="shared" si="7"/>
        <v>192</v>
      </c>
      <c r="B194" t="str">
        <f>DEC2HEX(Tabelle2[[#This Row],[Zeilennummer]]+1,2)</f>
        <v>C1</v>
      </c>
      <c r="C194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::gCommInput.Array[192] AT %IW."8FLM01.0000.00I-1".EPL_FB_IN_192_I2007_SC1;</v>
      </c>
    </row>
    <row r="195" spans="1:3" x14ac:dyDescent="0.25">
      <c r="A195">
        <f t="shared" si="7"/>
        <v>193</v>
      </c>
      <c r="B195" t="str">
        <f>DEC2HEX(Tabelle2[[#This Row],[Zeilennummer]]+1,2)</f>
        <v>C2</v>
      </c>
      <c r="C195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::gCommInput.Array[193] AT %IW."8FLM01.0000.00I-1".EPL_FB_IN_193_I2007_SC2;</v>
      </c>
    </row>
    <row r="196" spans="1:3" x14ac:dyDescent="0.25">
      <c r="A196">
        <f t="shared" si="7"/>
        <v>194</v>
      </c>
      <c r="B196" t="str">
        <f>DEC2HEX(Tabelle2[[#This Row],[Zeilennummer]]+1,2)</f>
        <v>C3</v>
      </c>
      <c r="C196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::gCommInput.Array[194] AT %IW."8FLM01.0000.00I-1".EPL_FB_IN_194_I2007_SC3;</v>
      </c>
    </row>
    <row r="197" spans="1:3" x14ac:dyDescent="0.25">
      <c r="A197">
        <f t="shared" si="7"/>
        <v>195</v>
      </c>
      <c r="B197" t="str">
        <f>DEC2HEX(Tabelle2[[#This Row],[Zeilennummer]]+1,2)</f>
        <v>C4</v>
      </c>
      <c r="C197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::gCommInput.Array[195] AT %IW."8FLM01.0000.00I-1".EPL_FB_IN_195_I2007_SC4;</v>
      </c>
    </row>
    <row r="198" spans="1:3" x14ac:dyDescent="0.25">
      <c r="A198">
        <f t="shared" si="7"/>
        <v>196</v>
      </c>
      <c r="B198" t="str">
        <f>DEC2HEX(Tabelle2[[#This Row],[Zeilennummer]]+1,2)</f>
        <v>C5</v>
      </c>
      <c r="C198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::gCommInput.Array[196] AT %IW."8FLM01.0000.00I-1".EPL_FB_IN_196_I2007_SC5;</v>
      </c>
    </row>
    <row r="199" spans="1:3" x14ac:dyDescent="0.25">
      <c r="A199">
        <f t="shared" si="7"/>
        <v>197</v>
      </c>
      <c r="B199" t="str">
        <f>DEC2HEX(Tabelle2[[#This Row],[Zeilennummer]]+1,2)</f>
        <v>C6</v>
      </c>
      <c r="C199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::gCommInput.Array[197] AT %IW."8FLM01.0000.00I-1".EPL_FB_IN_197_I2007_SC6;</v>
      </c>
    </row>
    <row r="200" spans="1:3" x14ac:dyDescent="0.25">
      <c r="A200">
        <f t="shared" si="7"/>
        <v>198</v>
      </c>
      <c r="B200" t="str">
        <f>DEC2HEX(Tabelle2[[#This Row],[Zeilennummer]]+1,2)</f>
        <v>C7</v>
      </c>
      <c r="C200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::gCommInput.Array[198] AT %IW."8FLM01.0000.00I-1".EPL_FB_IN_198_I2007_SC7;</v>
      </c>
    </row>
    <row r="201" spans="1:3" x14ac:dyDescent="0.25">
      <c r="A201">
        <f>ROW()-2</f>
        <v>199</v>
      </c>
      <c r="B201" t="str">
        <f>DEC2HEX(Tabelle2[[#This Row],[Zeilennummer]]+1,2)</f>
        <v>C8</v>
      </c>
      <c r="C201" t="str">
        <f>CONCATENATE(DoubleDot,InputVarName,Bracket_open,Tabelle2[[#This Row],[Zeilennummer]],Bracket_close,AT,Sign_input,Dot,Module_name,Dot_2,Input_name,Tabelle2[[#This Row],[Zeilennummer]],Input_sign,Tabelle2[[#This Row],[Zeilennummer (HEX)]],SemiColon)</f>
        <v>::gCommInput.Array[199] AT %IW."8FLM01.0000.00I-1".EPL_FB_IN_199_I2007_SC8;</v>
      </c>
    </row>
  </sheetData>
  <pageMargins left="0.7" right="0.7" top="0.78740157499999996" bottom="0.78740157499999996" header="0.3" footer="0.3"/>
  <headerFooter>
    <oddHeader>&amp;R&amp;"Calibri"&amp;11&amp;K000000 TUNI Luottamuksellinen - Confidential (3Y)&amp;1#_x000D_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7BB1-EEB7-4CA6-A170-772144C22F16}">
  <dimension ref="A1:C201"/>
  <sheetViews>
    <sheetView workbookViewId="0">
      <selection activeCell="C3" sqref="C3"/>
    </sheetView>
  </sheetViews>
  <sheetFormatPr defaultColWidth="11.42578125" defaultRowHeight="15" x14ac:dyDescent="0.25"/>
  <cols>
    <col min="1" max="1" width="16.28515625" customWidth="1"/>
    <col min="2" max="2" width="21.85546875" bestFit="1" customWidth="1"/>
    <col min="3" max="3" width="78.42578125" bestFit="1" customWidth="1"/>
  </cols>
  <sheetData>
    <row r="1" spans="1:3" x14ac:dyDescent="0.25">
      <c r="A1" t="s">
        <v>15</v>
      </c>
      <c r="B1" t="s">
        <v>16</v>
      </c>
      <c r="C1" t="s">
        <v>17</v>
      </c>
    </row>
    <row r="2" spans="1:3" x14ac:dyDescent="0.25">
      <c r="A2">
        <f t="shared" ref="A2:A65" si="0">ROW()-2</f>
        <v>0</v>
      </c>
      <c r="B2" t="str">
        <f>DEC2HEX(Tabelle24[[#This Row],[Zeilennummer]]+1,2)</f>
        <v>01</v>
      </c>
      <c r="C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::gCommOutput.Array[0] AT %QW."8FLM01.0000.00I-1".EPL_FB_OUT_0_I2008_S01Out;</v>
      </c>
    </row>
    <row r="3" spans="1:3" x14ac:dyDescent="0.25">
      <c r="A3">
        <f t="shared" si="0"/>
        <v>1</v>
      </c>
      <c r="B3" t="str">
        <f>DEC2HEX(Tabelle24[[#This Row],[Zeilennummer]]+1,2)</f>
        <v>02</v>
      </c>
      <c r="C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::gCommOutput.Array[1] AT %QW."8FLM01.0000.00I-1".EPL_FB_OUT_1_I2008_S02Out;</v>
      </c>
    </row>
    <row r="4" spans="1:3" x14ac:dyDescent="0.25">
      <c r="A4">
        <f t="shared" si="0"/>
        <v>2</v>
      </c>
      <c r="B4" t="str">
        <f>DEC2HEX(Tabelle24[[#This Row],[Zeilennummer]]+1,2)</f>
        <v>03</v>
      </c>
      <c r="C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::gCommOutput.Array[2] AT %QW."8FLM01.0000.00I-1".EPL_FB_OUT_2_I2008_S03Out;</v>
      </c>
    </row>
    <row r="5" spans="1:3" x14ac:dyDescent="0.25">
      <c r="A5">
        <f t="shared" si="0"/>
        <v>3</v>
      </c>
      <c r="B5" t="str">
        <f>DEC2HEX(Tabelle24[[#This Row],[Zeilennummer]]+1,2)</f>
        <v>04</v>
      </c>
      <c r="C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::gCommOutput.Array[3] AT %QW."8FLM01.0000.00I-1".EPL_FB_OUT_3_I2008_S04Out;</v>
      </c>
    </row>
    <row r="6" spans="1:3" x14ac:dyDescent="0.25">
      <c r="A6">
        <f t="shared" si="0"/>
        <v>4</v>
      </c>
      <c r="B6" t="str">
        <f>DEC2HEX(Tabelle24[[#This Row],[Zeilennummer]]+1,2)</f>
        <v>05</v>
      </c>
      <c r="C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::gCommOutput.Array[4] AT %QW."8FLM01.0000.00I-1".EPL_FB_OUT_4_I2008_S05Out;</v>
      </c>
    </row>
    <row r="7" spans="1:3" x14ac:dyDescent="0.25">
      <c r="A7">
        <f t="shared" si="0"/>
        <v>5</v>
      </c>
      <c r="B7" t="str">
        <f>DEC2HEX(Tabelle24[[#This Row],[Zeilennummer]]+1,2)</f>
        <v>06</v>
      </c>
      <c r="C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::gCommOutput.Array[5] AT %QW."8FLM01.0000.00I-1".EPL_FB_OUT_5_I2008_S06Out;</v>
      </c>
    </row>
    <row r="8" spans="1:3" x14ac:dyDescent="0.25">
      <c r="A8">
        <f t="shared" si="0"/>
        <v>6</v>
      </c>
      <c r="B8" t="str">
        <f>DEC2HEX(Tabelle24[[#This Row],[Zeilennummer]]+1,2)</f>
        <v>07</v>
      </c>
      <c r="C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::gCommOutput.Array[6] AT %QW."8FLM01.0000.00I-1".EPL_FB_OUT_6_I2008_S07Out;</v>
      </c>
    </row>
    <row r="9" spans="1:3" x14ac:dyDescent="0.25">
      <c r="A9">
        <f t="shared" si="0"/>
        <v>7</v>
      </c>
      <c r="B9" t="str">
        <f>DEC2HEX(Tabelle24[[#This Row],[Zeilennummer]]+1,2)</f>
        <v>08</v>
      </c>
      <c r="C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::gCommOutput.Array[7] AT %QW."8FLM01.0000.00I-1".EPL_FB_OUT_7_I2008_S08Out;</v>
      </c>
    </row>
    <row r="10" spans="1:3" x14ac:dyDescent="0.25">
      <c r="A10">
        <f t="shared" si="0"/>
        <v>8</v>
      </c>
      <c r="B10" t="str">
        <f>DEC2HEX(Tabelle24[[#This Row],[Zeilennummer]]+1,2)</f>
        <v>09</v>
      </c>
      <c r="C1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::gCommOutput.Array[8] AT %QW."8FLM01.0000.00I-1".EPL_FB_OUT_8_I2008_S09Out;</v>
      </c>
    </row>
    <row r="11" spans="1:3" x14ac:dyDescent="0.25">
      <c r="A11">
        <f t="shared" si="0"/>
        <v>9</v>
      </c>
      <c r="B11" t="str">
        <f>DEC2HEX(Tabelle24[[#This Row],[Zeilennummer]]+1,2)</f>
        <v>0A</v>
      </c>
      <c r="C1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::gCommOutput.Array[9] AT %QW."8FLM01.0000.00I-1".EPL_FB_OUT_9_I2008_S0AOut;</v>
      </c>
    </row>
    <row r="12" spans="1:3" x14ac:dyDescent="0.25">
      <c r="A12">
        <f t="shared" si="0"/>
        <v>10</v>
      </c>
      <c r="B12" t="str">
        <f>DEC2HEX(Tabelle24[[#This Row],[Zeilennummer]]+1,2)</f>
        <v>0B</v>
      </c>
      <c r="C1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::gCommOutput.Array[10] AT %QW."8FLM01.0000.00I-1".EPL_FB_OUT_10_I2008_S0BOut;</v>
      </c>
    </row>
    <row r="13" spans="1:3" x14ac:dyDescent="0.25">
      <c r="A13">
        <f t="shared" si="0"/>
        <v>11</v>
      </c>
      <c r="B13" t="str">
        <f>DEC2HEX(Tabelle24[[#This Row],[Zeilennummer]]+1,2)</f>
        <v>0C</v>
      </c>
      <c r="C1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::gCommOutput.Array[11] AT %QW."8FLM01.0000.00I-1".EPL_FB_OUT_11_I2008_S0COut;</v>
      </c>
    </row>
    <row r="14" spans="1:3" x14ac:dyDescent="0.25">
      <c r="A14">
        <f t="shared" si="0"/>
        <v>12</v>
      </c>
      <c r="B14" t="str">
        <f>DEC2HEX(Tabelle24[[#This Row],[Zeilennummer]]+1,2)</f>
        <v>0D</v>
      </c>
      <c r="C1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::gCommOutput.Array[12] AT %QW."8FLM01.0000.00I-1".EPL_FB_OUT_12_I2008_S0DOut;</v>
      </c>
    </row>
    <row r="15" spans="1:3" x14ac:dyDescent="0.25">
      <c r="A15">
        <f t="shared" si="0"/>
        <v>13</v>
      </c>
      <c r="B15" t="str">
        <f>DEC2HEX(Tabelle24[[#This Row],[Zeilennummer]]+1,2)</f>
        <v>0E</v>
      </c>
      <c r="C1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::gCommOutput.Array[13] AT %QW."8FLM01.0000.00I-1".EPL_FB_OUT_13_I2008_S0EOut;</v>
      </c>
    </row>
    <row r="16" spans="1:3" x14ac:dyDescent="0.25">
      <c r="A16">
        <f t="shared" si="0"/>
        <v>14</v>
      </c>
      <c r="B16" t="str">
        <f>DEC2HEX(Tabelle24[[#This Row],[Zeilennummer]]+1,2)</f>
        <v>0F</v>
      </c>
      <c r="C1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::gCommOutput.Array[14] AT %QW."8FLM01.0000.00I-1".EPL_FB_OUT_14_I2008_S0FOut;</v>
      </c>
    </row>
    <row r="17" spans="1:3" x14ac:dyDescent="0.25">
      <c r="A17">
        <f t="shared" si="0"/>
        <v>15</v>
      </c>
      <c r="B17" t="str">
        <f>DEC2HEX(Tabelle24[[#This Row],[Zeilennummer]]+1,2)</f>
        <v>10</v>
      </c>
      <c r="C1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::gCommOutput.Array[15] AT %QW."8FLM01.0000.00I-1".EPL_FB_OUT_15_I2008_S10Out;</v>
      </c>
    </row>
    <row r="18" spans="1:3" x14ac:dyDescent="0.25">
      <c r="A18">
        <f t="shared" si="0"/>
        <v>16</v>
      </c>
      <c r="B18" t="str">
        <f>DEC2HEX(Tabelle24[[#This Row],[Zeilennummer]]+1,2)</f>
        <v>11</v>
      </c>
      <c r="C1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::gCommOutput.Array[16] AT %QW."8FLM01.0000.00I-1".EPL_FB_OUT_16_I2008_S11Out;</v>
      </c>
    </row>
    <row r="19" spans="1:3" x14ac:dyDescent="0.25">
      <c r="A19">
        <f t="shared" si="0"/>
        <v>17</v>
      </c>
      <c r="B19" t="str">
        <f>DEC2HEX(Tabelle24[[#This Row],[Zeilennummer]]+1,2)</f>
        <v>12</v>
      </c>
      <c r="C1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::gCommOutput.Array[17] AT %QW."8FLM01.0000.00I-1".EPL_FB_OUT_17_I2008_S12Out;</v>
      </c>
    </row>
    <row r="20" spans="1:3" x14ac:dyDescent="0.25">
      <c r="A20">
        <f t="shared" si="0"/>
        <v>18</v>
      </c>
      <c r="B20" t="str">
        <f>DEC2HEX(Tabelle24[[#This Row],[Zeilennummer]]+1,2)</f>
        <v>13</v>
      </c>
      <c r="C2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::gCommOutput.Array[18] AT %QW."8FLM01.0000.00I-1".EPL_FB_OUT_18_I2008_S13Out;</v>
      </c>
    </row>
    <row r="21" spans="1:3" x14ac:dyDescent="0.25">
      <c r="A21">
        <f t="shared" si="0"/>
        <v>19</v>
      </c>
      <c r="B21" t="str">
        <f>DEC2HEX(Tabelle24[[#This Row],[Zeilennummer]]+1,2)</f>
        <v>14</v>
      </c>
      <c r="C2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::gCommOutput.Array[19] AT %QW."8FLM01.0000.00I-1".EPL_FB_OUT_19_I2008_S14Out;</v>
      </c>
    </row>
    <row r="22" spans="1:3" x14ac:dyDescent="0.25">
      <c r="A22">
        <f t="shared" si="0"/>
        <v>20</v>
      </c>
      <c r="B22" t="str">
        <f>DEC2HEX(Tabelle24[[#This Row],[Zeilennummer]]+1,2)</f>
        <v>15</v>
      </c>
      <c r="C2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::gCommOutput.Array[20] AT %QW."8FLM01.0000.00I-1".EPL_FB_OUT_20_I2008_S15Out;</v>
      </c>
    </row>
    <row r="23" spans="1:3" x14ac:dyDescent="0.25">
      <c r="A23">
        <f t="shared" si="0"/>
        <v>21</v>
      </c>
      <c r="B23" t="str">
        <f>DEC2HEX(Tabelle24[[#This Row],[Zeilennummer]]+1,2)</f>
        <v>16</v>
      </c>
      <c r="C2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::gCommOutput.Array[21] AT %QW."8FLM01.0000.00I-1".EPL_FB_OUT_21_I2008_S16Out;</v>
      </c>
    </row>
    <row r="24" spans="1:3" x14ac:dyDescent="0.25">
      <c r="A24">
        <f t="shared" si="0"/>
        <v>22</v>
      </c>
      <c r="B24" t="str">
        <f>DEC2HEX(Tabelle24[[#This Row],[Zeilennummer]]+1,2)</f>
        <v>17</v>
      </c>
      <c r="C2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::gCommOutput.Array[22] AT %QW."8FLM01.0000.00I-1".EPL_FB_OUT_22_I2008_S17Out;</v>
      </c>
    </row>
    <row r="25" spans="1:3" x14ac:dyDescent="0.25">
      <c r="A25">
        <f t="shared" si="0"/>
        <v>23</v>
      </c>
      <c r="B25" t="str">
        <f>DEC2HEX(Tabelle24[[#This Row],[Zeilennummer]]+1,2)</f>
        <v>18</v>
      </c>
      <c r="C2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::gCommOutput.Array[23] AT %QW."8FLM01.0000.00I-1".EPL_FB_OUT_23_I2008_S18Out;</v>
      </c>
    </row>
    <row r="26" spans="1:3" x14ac:dyDescent="0.25">
      <c r="A26">
        <f t="shared" si="0"/>
        <v>24</v>
      </c>
      <c r="B26" t="str">
        <f>DEC2HEX(Tabelle24[[#This Row],[Zeilennummer]]+1,2)</f>
        <v>19</v>
      </c>
      <c r="C2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::gCommOutput.Array[24] AT %QW."8FLM01.0000.00I-1".EPL_FB_OUT_24_I2008_S19Out;</v>
      </c>
    </row>
    <row r="27" spans="1:3" x14ac:dyDescent="0.25">
      <c r="A27">
        <f t="shared" si="0"/>
        <v>25</v>
      </c>
      <c r="B27" t="str">
        <f>DEC2HEX(Tabelle24[[#This Row],[Zeilennummer]]+1,2)</f>
        <v>1A</v>
      </c>
      <c r="C2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::gCommOutput.Array[25] AT %QW."8FLM01.0000.00I-1".EPL_FB_OUT_25_I2008_S1AOut;</v>
      </c>
    </row>
    <row r="28" spans="1:3" x14ac:dyDescent="0.25">
      <c r="A28">
        <f t="shared" si="0"/>
        <v>26</v>
      </c>
      <c r="B28" t="str">
        <f>DEC2HEX(Tabelle24[[#This Row],[Zeilennummer]]+1,2)</f>
        <v>1B</v>
      </c>
      <c r="C2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::gCommOutput.Array[26] AT %QW."8FLM01.0000.00I-1".EPL_FB_OUT_26_I2008_S1BOut;</v>
      </c>
    </row>
    <row r="29" spans="1:3" x14ac:dyDescent="0.25">
      <c r="A29">
        <f t="shared" si="0"/>
        <v>27</v>
      </c>
      <c r="B29" t="str">
        <f>DEC2HEX(Tabelle24[[#This Row],[Zeilennummer]]+1,2)</f>
        <v>1C</v>
      </c>
      <c r="C2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::gCommOutput.Array[27] AT %QW."8FLM01.0000.00I-1".EPL_FB_OUT_27_I2008_S1COut;</v>
      </c>
    </row>
    <row r="30" spans="1:3" x14ac:dyDescent="0.25">
      <c r="A30">
        <f t="shared" si="0"/>
        <v>28</v>
      </c>
      <c r="B30" t="str">
        <f>DEC2HEX(Tabelle24[[#This Row],[Zeilennummer]]+1,2)</f>
        <v>1D</v>
      </c>
      <c r="C3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::gCommOutput.Array[28] AT %QW."8FLM01.0000.00I-1".EPL_FB_OUT_28_I2008_S1DOut;</v>
      </c>
    </row>
    <row r="31" spans="1:3" x14ac:dyDescent="0.25">
      <c r="A31">
        <f t="shared" si="0"/>
        <v>29</v>
      </c>
      <c r="B31" t="str">
        <f>DEC2HEX(Tabelle24[[#This Row],[Zeilennummer]]+1,2)</f>
        <v>1E</v>
      </c>
      <c r="C3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::gCommOutput.Array[29] AT %QW."8FLM01.0000.00I-1".EPL_FB_OUT_29_I2008_S1EOut;</v>
      </c>
    </row>
    <row r="32" spans="1:3" x14ac:dyDescent="0.25">
      <c r="A32">
        <f t="shared" si="0"/>
        <v>30</v>
      </c>
      <c r="B32" t="str">
        <f>DEC2HEX(Tabelle24[[#This Row],[Zeilennummer]]+1,2)</f>
        <v>1F</v>
      </c>
      <c r="C3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::gCommOutput.Array[30] AT %QW."8FLM01.0000.00I-1".EPL_FB_OUT_30_I2008_S1FOut;</v>
      </c>
    </row>
    <row r="33" spans="1:3" x14ac:dyDescent="0.25">
      <c r="A33">
        <f t="shared" si="0"/>
        <v>31</v>
      </c>
      <c r="B33" t="str">
        <f>DEC2HEX(Tabelle24[[#This Row],[Zeilennummer]]+1,2)</f>
        <v>20</v>
      </c>
      <c r="C3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::gCommOutput.Array[31] AT %QW."8FLM01.0000.00I-1".EPL_FB_OUT_31_I2008_S20Out;</v>
      </c>
    </row>
    <row r="34" spans="1:3" x14ac:dyDescent="0.25">
      <c r="A34">
        <f t="shared" si="0"/>
        <v>32</v>
      </c>
      <c r="B34" t="str">
        <f>DEC2HEX(Tabelle24[[#This Row],[Zeilennummer]]+1,2)</f>
        <v>21</v>
      </c>
      <c r="C3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::gCommOutput.Array[32] AT %QW."8FLM01.0000.00I-1".EPL_FB_OUT_32_I2008_S21Out;</v>
      </c>
    </row>
    <row r="35" spans="1:3" x14ac:dyDescent="0.25">
      <c r="A35">
        <f t="shared" si="0"/>
        <v>33</v>
      </c>
      <c r="B35" t="str">
        <f>DEC2HEX(Tabelle24[[#This Row],[Zeilennummer]]+1,2)</f>
        <v>22</v>
      </c>
      <c r="C3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::gCommOutput.Array[33] AT %QW."8FLM01.0000.00I-1".EPL_FB_OUT_33_I2008_S22Out;</v>
      </c>
    </row>
    <row r="36" spans="1:3" x14ac:dyDescent="0.25">
      <c r="A36">
        <f t="shared" si="0"/>
        <v>34</v>
      </c>
      <c r="B36" t="str">
        <f>DEC2HEX(Tabelle24[[#This Row],[Zeilennummer]]+1,2)</f>
        <v>23</v>
      </c>
      <c r="C3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::gCommOutput.Array[34] AT %QW."8FLM01.0000.00I-1".EPL_FB_OUT_34_I2008_S23Out;</v>
      </c>
    </row>
    <row r="37" spans="1:3" x14ac:dyDescent="0.25">
      <c r="A37">
        <f t="shared" si="0"/>
        <v>35</v>
      </c>
      <c r="B37" t="str">
        <f>DEC2HEX(Tabelle24[[#This Row],[Zeilennummer]]+1,2)</f>
        <v>24</v>
      </c>
      <c r="C3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::gCommOutput.Array[35] AT %QW."8FLM01.0000.00I-1".EPL_FB_OUT_35_I2008_S24Out;</v>
      </c>
    </row>
    <row r="38" spans="1:3" x14ac:dyDescent="0.25">
      <c r="A38">
        <f t="shared" si="0"/>
        <v>36</v>
      </c>
      <c r="B38" t="str">
        <f>DEC2HEX(Tabelle24[[#This Row],[Zeilennummer]]+1,2)</f>
        <v>25</v>
      </c>
      <c r="C3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::gCommOutput.Array[36] AT %QW."8FLM01.0000.00I-1".EPL_FB_OUT_36_I2008_S25Out;</v>
      </c>
    </row>
    <row r="39" spans="1:3" x14ac:dyDescent="0.25">
      <c r="A39">
        <f t="shared" si="0"/>
        <v>37</v>
      </c>
      <c r="B39" t="str">
        <f>DEC2HEX(Tabelle24[[#This Row],[Zeilennummer]]+1,2)</f>
        <v>26</v>
      </c>
      <c r="C3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::gCommOutput.Array[37] AT %QW."8FLM01.0000.00I-1".EPL_FB_OUT_37_I2008_S26Out;</v>
      </c>
    </row>
    <row r="40" spans="1:3" x14ac:dyDescent="0.25">
      <c r="A40">
        <f t="shared" si="0"/>
        <v>38</v>
      </c>
      <c r="B40" t="str">
        <f>DEC2HEX(Tabelle24[[#This Row],[Zeilennummer]]+1,2)</f>
        <v>27</v>
      </c>
      <c r="C4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::gCommOutput.Array[38] AT %QW."8FLM01.0000.00I-1".EPL_FB_OUT_38_I2008_S27Out;</v>
      </c>
    </row>
    <row r="41" spans="1:3" x14ac:dyDescent="0.25">
      <c r="A41">
        <f t="shared" si="0"/>
        <v>39</v>
      </c>
      <c r="B41" t="str">
        <f>DEC2HEX(Tabelle24[[#This Row],[Zeilennummer]]+1,2)</f>
        <v>28</v>
      </c>
      <c r="C4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::gCommOutput.Array[39] AT %QW."8FLM01.0000.00I-1".EPL_FB_OUT_39_I2008_S28Out;</v>
      </c>
    </row>
    <row r="42" spans="1:3" x14ac:dyDescent="0.25">
      <c r="A42">
        <f t="shared" si="0"/>
        <v>40</v>
      </c>
      <c r="B42" t="str">
        <f>DEC2HEX(Tabelle24[[#This Row],[Zeilennummer]]+1,2)</f>
        <v>29</v>
      </c>
      <c r="C4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::gCommOutput.Array[40] AT %QW."8FLM01.0000.00I-1".EPL_FB_OUT_40_I2008_S29Out;</v>
      </c>
    </row>
    <row r="43" spans="1:3" x14ac:dyDescent="0.25">
      <c r="A43">
        <f t="shared" si="0"/>
        <v>41</v>
      </c>
      <c r="B43" t="str">
        <f>DEC2HEX(Tabelle24[[#This Row],[Zeilennummer]]+1,2)</f>
        <v>2A</v>
      </c>
      <c r="C4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::gCommOutput.Array[41] AT %QW."8FLM01.0000.00I-1".EPL_FB_OUT_41_I2008_S2AOut;</v>
      </c>
    </row>
    <row r="44" spans="1:3" x14ac:dyDescent="0.25">
      <c r="A44">
        <f t="shared" si="0"/>
        <v>42</v>
      </c>
      <c r="B44" t="str">
        <f>DEC2HEX(Tabelle24[[#This Row],[Zeilennummer]]+1,2)</f>
        <v>2B</v>
      </c>
      <c r="C4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::gCommOutput.Array[42] AT %QW."8FLM01.0000.00I-1".EPL_FB_OUT_42_I2008_S2BOut;</v>
      </c>
    </row>
    <row r="45" spans="1:3" x14ac:dyDescent="0.25">
      <c r="A45">
        <f t="shared" si="0"/>
        <v>43</v>
      </c>
      <c r="B45" t="str">
        <f>DEC2HEX(Tabelle24[[#This Row],[Zeilennummer]]+1,2)</f>
        <v>2C</v>
      </c>
      <c r="C4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::gCommOutput.Array[43] AT %QW."8FLM01.0000.00I-1".EPL_FB_OUT_43_I2008_S2COut;</v>
      </c>
    </row>
    <row r="46" spans="1:3" x14ac:dyDescent="0.25">
      <c r="A46">
        <f t="shared" si="0"/>
        <v>44</v>
      </c>
      <c r="B46" t="str">
        <f>DEC2HEX(Tabelle24[[#This Row],[Zeilennummer]]+1,2)</f>
        <v>2D</v>
      </c>
      <c r="C4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::gCommOutput.Array[44] AT %QW."8FLM01.0000.00I-1".EPL_FB_OUT_44_I2008_S2DOut;</v>
      </c>
    </row>
    <row r="47" spans="1:3" x14ac:dyDescent="0.25">
      <c r="A47">
        <f t="shared" si="0"/>
        <v>45</v>
      </c>
      <c r="B47" t="str">
        <f>DEC2HEX(Tabelle24[[#This Row],[Zeilennummer]]+1,2)</f>
        <v>2E</v>
      </c>
      <c r="C4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::gCommOutput.Array[45] AT %QW."8FLM01.0000.00I-1".EPL_FB_OUT_45_I2008_S2EOut;</v>
      </c>
    </row>
    <row r="48" spans="1:3" x14ac:dyDescent="0.25">
      <c r="A48">
        <f t="shared" si="0"/>
        <v>46</v>
      </c>
      <c r="B48" t="str">
        <f>DEC2HEX(Tabelle24[[#This Row],[Zeilennummer]]+1,2)</f>
        <v>2F</v>
      </c>
      <c r="C4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::gCommOutput.Array[46] AT %QW."8FLM01.0000.00I-1".EPL_FB_OUT_46_I2008_S2FOut;</v>
      </c>
    </row>
    <row r="49" spans="1:3" x14ac:dyDescent="0.25">
      <c r="A49">
        <f t="shared" si="0"/>
        <v>47</v>
      </c>
      <c r="B49" t="str">
        <f>DEC2HEX(Tabelle24[[#This Row],[Zeilennummer]]+1,2)</f>
        <v>30</v>
      </c>
      <c r="C4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::gCommOutput.Array[47] AT %QW."8FLM01.0000.00I-1".EPL_FB_OUT_47_I2008_S30Out;</v>
      </c>
    </row>
    <row r="50" spans="1:3" x14ac:dyDescent="0.25">
      <c r="A50">
        <f t="shared" si="0"/>
        <v>48</v>
      </c>
      <c r="B50" t="str">
        <f>DEC2HEX(Tabelle24[[#This Row],[Zeilennummer]]+1,2)</f>
        <v>31</v>
      </c>
      <c r="C5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::gCommOutput.Array[48] AT %QW."8FLM01.0000.00I-1".EPL_FB_OUT_48_I2008_S31Out;</v>
      </c>
    </row>
    <row r="51" spans="1:3" x14ac:dyDescent="0.25">
      <c r="A51">
        <f t="shared" si="0"/>
        <v>49</v>
      </c>
      <c r="B51" t="str">
        <f>DEC2HEX(Tabelle24[[#This Row],[Zeilennummer]]+1,2)</f>
        <v>32</v>
      </c>
      <c r="C5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::gCommOutput.Array[49] AT %QW."8FLM01.0000.00I-1".EPL_FB_OUT_49_I2008_S32Out;</v>
      </c>
    </row>
    <row r="52" spans="1:3" x14ac:dyDescent="0.25">
      <c r="A52">
        <f t="shared" si="0"/>
        <v>50</v>
      </c>
      <c r="B52" t="str">
        <f>DEC2HEX(Tabelle24[[#This Row],[Zeilennummer]]+1,2)</f>
        <v>33</v>
      </c>
      <c r="C5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::gCommOutput.Array[50] AT %QW."8FLM01.0000.00I-1".EPL_FB_OUT_50_I2008_S33Out;</v>
      </c>
    </row>
    <row r="53" spans="1:3" x14ac:dyDescent="0.25">
      <c r="A53">
        <f t="shared" si="0"/>
        <v>51</v>
      </c>
      <c r="B53" t="str">
        <f>DEC2HEX(Tabelle24[[#This Row],[Zeilennummer]]+1,2)</f>
        <v>34</v>
      </c>
      <c r="C5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::gCommOutput.Array[51] AT %QW."8FLM01.0000.00I-1".EPL_FB_OUT_51_I2008_S34Out;</v>
      </c>
    </row>
    <row r="54" spans="1:3" x14ac:dyDescent="0.25">
      <c r="A54">
        <f t="shared" si="0"/>
        <v>52</v>
      </c>
      <c r="B54" t="str">
        <f>DEC2HEX(Tabelle24[[#This Row],[Zeilennummer]]+1,2)</f>
        <v>35</v>
      </c>
      <c r="C5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::gCommOutput.Array[52] AT %QW."8FLM01.0000.00I-1".EPL_FB_OUT_52_I2008_S35Out;</v>
      </c>
    </row>
    <row r="55" spans="1:3" x14ac:dyDescent="0.25">
      <c r="A55">
        <f t="shared" si="0"/>
        <v>53</v>
      </c>
      <c r="B55" t="str">
        <f>DEC2HEX(Tabelle24[[#This Row],[Zeilennummer]]+1,2)</f>
        <v>36</v>
      </c>
      <c r="C5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::gCommOutput.Array[53] AT %QW."8FLM01.0000.00I-1".EPL_FB_OUT_53_I2008_S36Out;</v>
      </c>
    </row>
    <row r="56" spans="1:3" x14ac:dyDescent="0.25">
      <c r="A56">
        <f t="shared" si="0"/>
        <v>54</v>
      </c>
      <c r="B56" t="str">
        <f>DEC2HEX(Tabelle24[[#This Row],[Zeilennummer]]+1,2)</f>
        <v>37</v>
      </c>
      <c r="C5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::gCommOutput.Array[54] AT %QW."8FLM01.0000.00I-1".EPL_FB_OUT_54_I2008_S37Out;</v>
      </c>
    </row>
    <row r="57" spans="1:3" x14ac:dyDescent="0.25">
      <c r="A57">
        <f t="shared" si="0"/>
        <v>55</v>
      </c>
      <c r="B57" t="str">
        <f>DEC2HEX(Tabelle24[[#This Row],[Zeilennummer]]+1,2)</f>
        <v>38</v>
      </c>
      <c r="C5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::gCommOutput.Array[55] AT %QW."8FLM01.0000.00I-1".EPL_FB_OUT_55_I2008_S38Out;</v>
      </c>
    </row>
    <row r="58" spans="1:3" x14ac:dyDescent="0.25">
      <c r="A58">
        <f t="shared" si="0"/>
        <v>56</v>
      </c>
      <c r="B58" t="str">
        <f>DEC2HEX(Tabelle24[[#This Row],[Zeilennummer]]+1,2)</f>
        <v>39</v>
      </c>
      <c r="C5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::gCommOutput.Array[56] AT %QW."8FLM01.0000.00I-1".EPL_FB_OUT_56_I2008_S39Out;</v>
      </c>
    </row>
    <row r="59" spans="1:3" x14ac:dyDescent="0.25">
      <c r="A59">
        <f t="shared" si="0"/>
        <v>57</v>
      </c>
      <c r="B59" t="str">
        <f>DEC2HEX(Tabelle24[[#This Row],[Zeilennummer]]+1,2)</f>
        <v>3A</v>
      </c>
      <c r="C5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::gCommOutput.Array[57] AT %QW."8FLM01.0000.00I-1".EPL_FB_OUT_57_I2008_S3AOut;</v>
      </c>
    </row>
    <row r="60" spans="1:3" x14ac:dyDescent="0.25">
      <c r="A60">
        <f t="shared" si="0"/>
        <v>58</v>
      </c>
      <c r="B60" t="str">
        <f>DEC2HEX(Tabelle24[[#This Row],[Zeilennummer]]+1,2)</f>
        <v>3B</v>
      </c>
      <c r="C6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::gCommOutput.Array[58] AT %QW."8FLM01.0000.00I-1".EPL_FB_OUT_58_I2008_S3BOut;</v>
      </c>
    </row>
    <row r="61" spans="1:3" x14ac:dyDescent="0.25">
      <c r="A61">
        <f t="shared" si="0"/>
        <v>59</v>
      </c>
      <c r="B61" t="str">
        <f>DEC2HEX(Tabelle24[[#This Row],[Zeilennummer]]+1,2)</f>
        <v>3C</v>
      </c>
      <c r="C6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::gCommOutput.Array[59] AT %QW."8FLM01.0000.00I-1".EPL_FB_OUT_59_I2008_S3COut;</v>
      </c>
    </row>
    <row r="62" spans="1:3" x14ac:dyDescent="0.25">
      <c r="A62">
        <f t="shared" si="0"/>
        <v>60</v>
      </c>
      <c r="B62" t="str">
        <f>DEC2HEX(Tabelle24[[#This Row],[Zeilennummer]]+1,2)</f>
        <v>3D</v>
      </c>
      <c r="C6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::gCommOutput.Array[60] AT %QW."8FLM01.0000.00I-1".EPL_FB_OUT_60_I2008_S3DOut;</v>
      </c>
    </row>
    <row r="63" spans="1:3" x14ac:dyDescent="0.25">
      <c r="A63">
        <f t="shared" si="0"/>
        <v>61</v>
      </c>
      <c r="B63" t="str">
        <f>DEC2HEX(Tabelle24[[#This Row],[Zeilennummer]]+1,2)</f>
        <v>3E</v>
      </c>
      <c r="C6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::gCommOutput.Array[61] AT %QW."8FLM01.0000.00I-1".EPL_FB_OUT_61_I2008_S3EOut;</v>
      </c>
    </row>
    <row r="64" spans="1:3" x14ac:dyDescent="0.25">
      <c r="A64">
        <f t="shared" si="0"/>
        <v>62</v>
      </c>
      <c r="B64" t="str">
        <f>DEC2HEX(Tabelle24[[#This Row],[Zeilennummer]]+1,2)</f>
        <v>3F</v>
      </c>
      <c r="C6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::gCommOutput.Array[62] AT %QW."8FLM01.0000.00I-1".EPL_FB_OUT_62_I2008_S3FOut;</v>
      </c>
    </row>
    <row r="65" spans="1:3" x14ac:dyDescent="0.25">
      <c r="A65">
        <f t="shared" si="0"/>
        <v>63</v>
      </c>
      <c r="B65" t="str">
        <f>DEC2HEX(Tabelle24[[#This Row],[Zeilennummer]]+1,2)</f>
        <v>40</v>
      </c>
      <c r="C6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::gCommOutput.Array[63] AT %QW."8FLM01.0000.00I-1".EPL_FB_OUT_63_I2008_S40Out;</v>
      </c>
    </row>
    <row r="66" spans="1:3" x14ac:dyDescent="0.25">
      <c r="A66">
        <f t="shared" ref="A66:A129" si="1">ROW()-2</f>
        <v>64</v>
      </c>
      <c r="B66" t="str">
        <f>DEC2HEX(Tabelle24[[#This Row],[Zeilennummer]]+1,2)</f>
        <v>41</v>
      </c>
      <c r="C6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::gCommOutput.Array[64] AT %QW."8FLM01.0000.00I-1".EPL_FB_OUT_64_I2008_S41Out;</v>
      </c>
    </row>
    <row r="67" spans="1:3" x14ac:dyDescent="0.25">
      <c r="A67">
        <f t="shared" si="1"/>
        <v>65</v>
      </c>
      <c r="B67" t="str">
        <f>DEC2HEX(Tabelle24[[#This Row],[Zeilennummer]]+1,2)</f>
        <v>42</v>
      </c>
      <c r="C6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::gCommOutput.Array[65] AT %QW."8FLM01.0000.00I-1".EPL_FB_OUT_65_I2008_S42Out;</v>
      </c>
    </row>
    <row r="68" spans="1:3" x14ac:dyDescent="0.25">
      <c r="A68">
        <f t="shared" si="1"/>
        <v>66</v>
      </c>
      <c r="B68" t="str">
        <f>DEC2HEX(Tabelle24[[#This Row],[Zeilennummer]]+1,2)</f>
        <v>43</v>
      </c>
      <c r="C6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::gCommOutput.Array[66] AT %QW."8FLM01.0000.00I-1".EPL_FB_OUT_66_I2008_S43Out;</v>
      </c>
    </row>
    <row r="69" spans="1:3" x14ac:dyDescent="0.25">
      <c r="A69">
        <f t="shared" si="1"/>
        <v>67</v>
      </c>
      <c r="B69" t="str">
        <f>DEC2HEX(Tabelle24[[#This Row],[Zeilennummer]]+1,2)</f>
        <v>44</v>
      </c>
      <c r="C6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::gCommOutput.Array[67] AT %QW."8FLM01.0000.00I-1".EPL_FB_OUT_67_I2008_S44Out;</v>
      </c>
    </row>
    <row r="70" spans="1:3" x14ac:dyDescent="0.25">
      <c r="A70">
        <f t="shared" si="1"/>
        <v>68</v>
      </c>
      <c r="B70" t="str">
        <f>DEC2HEX(Tabelle24[[#This Row],[Zeilennummer]]+1,2)</f>
        <v>45</v>
      </c>
      <c r="C7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::gCommOutput.Array[68] AT %QW."8FLM01.0000.00I-1".EPL_FB_OUT_68_I2008_S45Out;</v>
      </c>
    </row>
    <row r="71" spans="1:3" x14ac:dyDescent="0.25">
      <c r="A71">
        <f t="shared" si="1"/>
        <v>69</v>
      </c>
      <c r="B71" t="str">
        <f>DEC2HEX(Tabelle24[[#This Row],[Zeilennummer]]+1,2)</f>
        <v>46</v>
      </c>
      <c r="C7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::gCommOutput.Array[69] AT %QW."8FLM01.0000.00I-1".EPL_FB_OUT_69_I2008_S46Out;</v>
      </c>
    </row>
    <row r="72" spans="1:3" x14ac:dyDescent="0.25">
      <c r="A72">
        <f t="shared" si="1"/>
        <v>70</v>
      </c>
      <c r="B72" t="str">
        <f>DEC2HEX(Tabelle24[[#This Row],[Zeilennummer]]+1,2)</f>
        <v>47</v>
      </c>
      <c r="C7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::gCommOutput.Array[70] AT %QW."8FLM01.0000.00I-1".EPL_FB_OUT_70_I2008_S47Out;</v>
      </c>
    </row>
    <row r="73" spans="1:3" x14ac:dyDescent="0.25">
      <c r="A73">
        <f t="shared" si="1"/>
        <v>71</v>
      </c>
      <c r="B73" t="str">
        <f>DEC2HEX(Tabelle24[[#This Row],[Zeilennummer]]+1,2)</f>
        <v>48</v>
      </c>
      <c r="C7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::gCommOutput.Array[71] AT %QW."8FLM01.0000.00I-1".EPL_FB_OUT_71_I2008_S48Out;</v>
      </c>
    </row>
    <row r="74" spans="1:3" x14ac:dyDescent="0.25">
      <c r="A74">
        <f t="shared" si="1"/>
        <v>72</v>
      </c>
      <c r="B74" t="str">
        <f>DEC2HEX(Tabelle24[[#This Row],[Zeilennummer]]+1,2)</f>
        <v>49</v>
      </c>
      <c r="C7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::gCommOutput.Array[72] AT %QW."8FLM01.0000.00I-1".EPL_FB_OUT_72_I2008_S49Out;</v>
      </c>
    </row>
    <row r="75" spans="1:3" x14ac:dyDescent="0.25">
      <c r="A75">
        <f t="shared" si="1"/>
        <v>73</v>
      </c>
      <c r="B75" t="str">
        <f>DEC2HEX(Tabelle24[[#This Row],[Zeilennummer]]+1,2)</f>
        <v>4A</v>
      </c>
      <c r="C7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::gCommOutput.Array[73] AT %QW."8FLM01.0000.00I-1".EPL_FB_OUT_73_I2008_S4AOut;</v>
      </c>
    </row>
    <row r="76" spans="1:3" x14ac:dyDescent="0.25">
      <c r="A76">
        <f t="shared" si="1"/>
        <v>74</v>
      </c>
      <c r="B76" t="str">
        <f>DEC2HEX(Tabelle24[[#This Row],[Zeilennummer]]+1,2)</f>
        <v>4B</v>
      </c>
      <c r="C7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::gCommOutput.Array[74] AT %QW."8FLM01.0000.00I-1".EPL_FB_OUT_74_I2008_S4BOut;</v>
      </c>
    </row>
    <row r="77" spans="1:3" x14ac:dyDescent="0.25">
      <c r="A77">
        <f t="shared" si="1"/>
        <v>75</v>
      </c>
      <c r="B77" t="str">
        <f>DEC2HEX(Tabelle24[[#This Row],[Zeilennummer]]+1,2)</f>
        <v>4C</v>
      </c>
      <c r="C7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::gCommOutput.Array[75] AT %QW."8FLM01.0000.00I-1".EPL_FB_OUT_75_I2008_S4COut;</v>
      </c>
    </row>
    <row r="78" spans="1:3" x14ac:dyDescent="0.25">
      <c r="A78">
        <f t="shared" si="1"/>
        <v>76</v>
      </c>
      <c r="B78" t="str">
        <f>DEC2HEX(Tabelle24[[#This Row],[Zeilennummer]]+1,2)</f>
        <v>4D</v>
      </c>
      <c r="C7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::gCommOutput.Array[76] AT %QW."8FLM01.0000.00I-1".EPL_FB_OUT_76_I2008_S4DOut;</v>
      </c>
    </row>
    <row r="79" spans="1:3" x14ac:dyDescent="0.25">
      <c r="A79">
        <f t="shared" si="1"/>
        <v>77</v>
      </c>
      <c r="B79" t="str">
        <f>DEC2HEX(Tabelle24[[#This Row],[Zeilennummer]]+1,2)</f>
        <v>4E</v>
      </c>
      <c r="C7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::gCommOutput.Array[77] AT %QW."8FLM01.0000.00I-1".EPL_FB_OUT_77_I2008_S4EOut;</v>
      </c>
    </row>
    <row r="80" spans="1:3" x14ac:dyDescent="0.25">
      <c r="A80">
        <f t="shared" si="1"/>
        <v>78</v>
      </c>
      <c r="B80" t="str">
        <f>DEC2HEX(Tabelle24[[#This Row],[Zeilennummer]]+1,2)</f>
        <v>4F</v>
      </c>
      <c r="C8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::gCommOutput.Array[78] AT %QW."8FLM01.0000.00I-1".EPL_FB_OUT_78_I2008_S4FOut;</v>
      </c>
    </row>
    <row r="81" spans="1:3" x14ac:dyDescent="0.25">
      <c r="A81">
        <f t="shared" si="1"/>
        <v>79</v>
      </c>
      <c r="B81" t="str">
        <f>DEC2HEX(Tabelle24[[#This Row],[Zeilennummer]]+1,2)</f>
        <v>50</v>
      </c>
      <c r="C8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::gCommOutput.Array[79] AT %QW."8FLM01.0000.00I-1".EPL_FB_OUT_79_I2008_S50Out;</v>
      </c>
    </row>
    <row r="82" spans="1:3" x14ac:dyDescent="0.25">
      <c r="A82">
        <f t="shared" si="1"/>
        <v>80</v>
      </c>
      <c r="B82" t="str">
        <f>DEC2HEX(Tabelle24[[#This Row],[Zeilennummer]]+1,2)</f>
        <v>51</v>
      </c>
      <c r="C8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::gCommOutput.Array[80] AT %QW."8FLM01.0000.00I-1".EPL_FB_OUT_80_I2008_S51Out;</v>
      </c>
    </row>
    <row r="83" spans="1:3" x14ac:dyDescent="0.25">
      <c r="A83">
        <f t="shared" si="1"/>
        <v>81</v>
      </c>
      <c r="B83" t="str">
        <f>DEC2HEX(Tabelle24[[#This Row],[Zeilennummer]]+1,2)</f>
        <v>52</v>
      </c>
      <c r="C8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::gCommOutput.Array[81] AT %QW."8FLM01.0000.00I-1".EPL_FB_OUT_81_I2008_S52Out;</v>
      </c>
    </row>
    <row r="84" spans="1:3" x14ac:dyDescent="0.25">
      <c r="A84">
        <f t="shared" si="1"/>
        <v>82</v>
      </c>
      <c r="B84" t="str">
        <f>DEC2HEX(Tabelle24[[#This Row],[Zeilennummer]]+1,2)</f>
        <v>53</v>
      </c>
      <c r="C8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::gCommOutput.Array[82] AT %QW."8FLM01.0000.00I-1".EPL_FB_OUT_82_I2008_S53Out;</v>
      </c>
    </row>
    <row r="85" spans="1:3" x14ac:dyDescent="0.25">
      <c r="A85">
        <f t="shared" si="1"/>
        <v>83</v>
      </c>
      <c r="B85" t="str">
        <f>DEC2HEX(Tabelle24[[#This Row],[Zeilennummer]]+1,2)</f>
        <v>54</v>
      </c>
      <c r="C8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::gCommOutput.Array[83] AT %QW."8FLM01.0000.00I-1".EPL_FB_OUT_83_I2008_S54Out;</v>
      </c>
    </row>
    <row r="86" spans="1:3" x14ac:dyDescent="0.25">
      <c r="A86">
        <f t="shared" si="1"/>
        <v>84</v>
      </c>
      <c r="B86" t="str">
        <f>DEC2HEX(Tabelle24[[#This Row],[Zeilennummer]]+1,2)</f>
        <v>55</v>
      </c>
      <c r="C8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::gCommOutput.Array[84] AT %QW."8FLM01.0000.00I-1".EPL_FB_OUT_84_I2008_S55Out;</v>
      </c>
    </row>
    <row r="87" spans="1:3" x14ac:dyDescent="0.25">
      <c r="A87">
        <f t="shared" si="1"/>
        <v>85</v>
      </c>
      <c r="B87" t="str">
        <f>DEC2HEX(Tabelle24[[#This Row],[Zeilennummer]]+1,2)</f>
        <v>56</v>
      </c>
      <c r="C8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::gCommOutput.Array[85] AT %QW."8FLM01.0000.00I-1".EPL_FB_OUT_85_I2008_S56Out;</v>
      </c>
    </row>
    <row r="88" spans="1:3" x14ac:dyDescent="0.25">
      <c r="A88">
        <f t="shared" si="1"/>
        <v>86</v>
      </c>
      <c r="B88" t="str">
        <f>DEC2HEX(Tabelle24[[#This Row],[Zeilennummer]]+1,2)</f>
        <v>57</v>
      </c>
      <c r="C8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::gCommOutput.Array[86] AT %QW."8FLM01.0000.00I-1".EPL_FB_OUT_86_I2008_S57Out;</v>
      </c>
    </row>
    <row r="89" spans="1:3" x14ac:dyDescent="0.25">
      <c r="A89">
        <f t="shared" si="1"/>
        <v>87</v>
      </c>
      <c r="B89" t="str">
        <f>DEC2HEX(Tabelle24[[#This Row],[Zeilennummer]]+1,2)</f>
        <v>58</v>
      </c>
      <c r="C8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::gCommOutput.Array[87] AT %QW."8FLM01.0000.00I-1".EPL_FB_OUT_87_I2008_S58Out;</v>
      </c>
    </row>
    <row r="90" spans="1:3" x14ac:dyDescent="0.25">
      <c r="A90">
        <f t="shared" si="1"/>
        <v>88</v>
      </c>
      <c r="B90" t="str">
        <f>DEC2HEX(Tabelle24[[#This Row],[Zeilennummer]]+1,2)</f>
        <v>59</v>
      </c>
      <c r="C9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::gCommOutput.Array[88] AT %QW."8FLM01.0000.00I-1".EPL_FB_OUT_88_I2008_S59Out;</v>
      </c>
    </row>
    <row r="91" spans="1:3" x14ac:dyDescent="0.25">
      <c r="A91">
        <f t="shared" si="1"/>
        <v>89</v>
      </c>
      <c r="B91" t="str">
        <f>DEC2HEX(Tabelle24[[#This Row],[Zeilennummer]]+1,2)</f>
        <v>5A</v>
      </c>
      <c r="C9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::gCommOutput.Array[89] AT %QW."8FLM01.0000.00I-1".EPL_FB_OUT_89_I2008_S5AOut;</v>
      </c>
    </row>
    <row r="92" spans="1:3" x14ac:dyDescent="0.25">
      <c r="A92">
        <f t="shared" si="1"/>
        <v>90</v>
      </c>
      <c r="B92" t="str">
        <f>DEC2HEX(Tabelle24[[#This Row],[Zeilennummer]]+1,2)</f>
        <v>5B</v>
      </c>
      <c r="C9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::gCommOutput.Array[90] AT %QW."8FLM01.0000.00I-1".EPL_FB_OUT_90_I2008_S5BOut;</v>
      </c>
    </row>
    <row r="93" spans="1:3" x14ac:dyDescent="0.25">
      <c r="A93">
        <f t="shared" si="1"/>
        <v>91</v>
      </c>
      <c r="B93" t="str">
        <f>DEC2HEX(Tabelle24[[#This Row],[Zeilennummer]]+1,2)</f>
        <v>5C</v>
      </c>
      <c r="C9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::gCommOutput.Array[91] AT %QW."8FLM01.0000.00I-1".EPL_FB_OUT_91_I2008_S5COut;</v>
      </c>
    </row>
    <row r="94" spans="1:3" x14ac:dyDescent="0.25">
      <c r="A94">
        <f t="shared" si="1"/>
        <v>92</v>
      </c>
      <c r="B94" t="str">
        <f>DEC2HEX(Tabelle24[[#This Row],[Zeilennummer]]+1,2)</f>
        <v>5D</v>
      </c>
      <c r="C9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::gCommOutput.Array[92] AT %QW."8FLM01.0000.00I-1".EPL_FB_OUT_92_I2008_S5DOut;</v>
      </c>
    </row>
    <row r="95" spans="1:3" x14ac:dyDescent="0.25">
      <c r="A95">
        <f t="shared" si="1"/>
        <v>93</v>
      </c>
      <c r="B95" t="str">
        <f>DEC2HEX(Tabelle24[[#This Row],[Zeilennummer]]+1,2)</f>
        <v>5E</v>
      </c>
      <c r="C9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::gCommOutput.Array[93] AT %QW."8FLM01.0000.00I-1".EPL_FB_OUT_93_I2008_S5EOut;</v>
      </c>
    </row>
    <row r="96" spans="1:3" x14ac:dyDescent="0.25">
      <c r="A96">
        <f t="shared" si="1"/>
        <v>94</v>
      </c>
      <c r="B96" t="str">
        <f>DEC2HEX(Tabelle24[[#This Row],[Zeilennummer]]+1,2)</f>
        <v>5F</v>
      </c>
      <c r="C9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::gCommOutput.Array[94] AT %QW."8FLM01.0000.00I-1".EPL_FB_OUT_94_I2008_S5FOut;</v>
      </c>
    </row>
    <row r="97" spans="1:3" x14ac:dyDescent="0.25">
      <c r="A97">
        <f t="shared" si="1"/>
        <v>95</v>
      </c>
      <c r="B97" t="str">
        <f>DEC2HEX(Tabelle24[[#This Row],[Zeilennummer]]+1,2)</f>
        <v>60</v>
      </c>
      <c r="C9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::gCommOutput.Array[95] AT %QW."8FLM01.0000.00I-1".EPL_FB_OUT_95_I2008_S60Out;</v>
      </c>
    </row>
    <row r="98" spans="1:3" x14ac:dyDescent="0.25">
      <c r="A98">
        <f t="shared" si="1"/>
        <v>96</v>
      </c>
      <c r="B98" t="str">
        <f>DEC2HEX(Tabelle24[[#This Row],[Zeilennummer]]+1,2)</f>
        <v>61</v>
      </c>
      <c r="C9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::gCommOutput.Array[96] AT %QW."8FLM01.0000.00I-1".EPL_FB_OUT_96_I2008_S61Out;</v>
      </c>
    </row>
    <row r="99" spans="1:3" x14ac:dyDescent="0.25">
      <c r="A99">
        <f t="shared" si="1"/>
        <v>97</v>
      </c>
      <c r="B99" t="str">
        <f>DEC2HEX(Tabelle24[[#This Row],[Zeilennummer]]+1,2)</f>
        <v>62</v>
      </c>
      <c r="C9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::gCommOutput.Array[97] AT %QW."8FLM01.0000.00I-1".EPL_FB_OUT_97_I2008_S62Out;</v>
      </c>
    </row>
    <row r="100" spans="1:3" x14ac:dyDescent="0.25">
      <c r="A100">
        <f t="shared" si="1"/>
        <v>98</v>
      </c>
      <c r="B100" t="str">
        <f>DEC2HEX(Tabelle24[[#This Row],[Zeilennummer]]+1,2)</f>
        <v>63</v>
      </c>
      <c r="C10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::gCommOutput.Array[98] AT %QW."8FLM01.0000.00I-1".EPL_FB_OUT_98_I2008_S63Out;</v>
      </c>
    </row>
    <row r="101" spans="1:3" x14ac:dyDescent="0.25">
      <c r="A101">
        <f t="shared" si="1"/>
        <v>99</v>
      </c>
      <c r="B101" t="str">
        <f>DEC2HEX(Tabelle24[[#This Row],[Zeilennummer]]+1,2)</f>
        <v>64</v>
      </c>
      <c r="C10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::gCommOutput.Array[99] AT %QW."8FLM01.0000.00I-1".EPL_FB_OUT_99_I2008_S64Out;</v>
      </c>
    </row>
    <row r="102" spans="1:3" x14ac:dyDescent="0.25">
      <c r="A102">
        <f t="shared" si="1"/>
        <v>100</v>
      </c>
      <c r="B102" t="str">
        <f>DEC2HEX(Tabelle24[[#This Row],[Zeilennummer]]+1,2)</f>
        <v>65</v>
      </c>
      <c r="C10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::gCommOutput.Array[100] AT %QW."8FLM01.0000.00I-1".EPL_FB_OUT_100_I2008_S65Out;</v>
      </c>
    </row>
    <row r="103" spans="1:3" x14ac:dyDescent="0.25">
      <c r="A103">
        <f t="shared" si="1"/>
        <v>101</v>
      </c>
      <c r="B103" t="str">
        <f>DEC2HEX(Tabelle24[[#This Row],[Zeilennummer]]+1,2)</f>
        <v>66</v>
      </c>
      <c r="C10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::gCommOutput.Array[101] AT %QW."8FLM01.0000.00I-1".EPL_FB_OUT_101_I2008_S66Out;</v>
      </c>
    </row>
    <row r="104" spans="1:3" x14ac:dyDescent="0.25">
      <c r="A104">
        <f t="shared" si="1"/>
        <v>102</v>
      </c>
      <c r="B104" t="str">
        <f>DEC2HEX(Tabelle24[[#This Row],[Zeilennummer]]+1,2)</f>
        <v>67</v>
      </c>
      <c r="C10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::gCommOutput.Array[102] AT %QW."8FLM01.0000.00I-1".EPL_FB_OUT_102_I2008_S67Out;</v>
      </c>
    </row>
    <row r="105" spans="1:3" x14ac:dyDescent="0.25">
      <c r="A105">
        <f t="shared" si="1"/>
        <v>103</v>
      </c>
      <c r="B105" t="str">
        <f>DEC2HEX(Tabelle24[[#This Row],[Zeilennummer]]+1,2)</f>
        <v>68</v>
      </c>
      <c r="C10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::gCommOutput.Array[103] AT %QW."8FLM01.0000.00I-1".EPL_FB_OUT_103_I2008_S68Out;</v>
      </c>
    </row>
    <row r="106" spans="1:3" x14ac:dyDescent="0.25">
      <c r="A106">
        <f t="shared" si="1"/>
        <v>104</v>
      </c>
      <c r="B106" t="str">
        <f>DEC2HEX(Tabelle24[[#This Row],[Zeilennummer]]+1,2)</f>
        <v>69</v>
      </c>
      <c r="C10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::gCommOutput.Array[104] AT %QW."8FLM01.0000.00I-1".EPL_FB_OUT_104_I2008_S69Out;</v>
      </c>
    </row>
    <row r="107" spans="1:3" x14ac:dyDescent="0.25">
      <c r="A107">
        <f t="shared" si="1"/>
        <v>105</v>
      </c>
      <c r="B107" t="str">
        <f>DEC2HEX(Tabelle24[[#This Row],[Zeilennummer]]+1,2)</f>
        <v>6A</v>
      </c>
      <c r="C10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::gCommOutput.Array[105] AT %QW."8FLM01.0000.00I-1".EPL_FB_OUT_105_I2008_S6AOut;</v>
      </c>
    </row>
    <row r="108" spans="1:3" x14ac:dyDescent="0.25">
      <c r="A108">
        <f t="shared" si="1"/>
        <v>106</v>
      </c>
      <c r="B108" t="str">
        <f>DEC2HEX(Tabelle24[[#This Row],[Zeilennummer]]+1,2)</f>
        <v>6B</v>
      </c>
      <c r="C10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::gCommOutput.Array[106] AT %QW."8FLM01.0000.00I-1".EPL_FB_OUT_106_I2008_S6BOut;</v>
      </c>
    </row>
    <row r="109" spans="1:3" x14ac:dyDescent="0.25">
      <c r="A109">
        <f t="shared" si="1"/>
        <v>107</v>
      </c>
      <c r="B109" t="str">
        <f>DEC2HEX(Tabelle24[[#This Row],[Zeilennummer]]+1,2)</f>
        <v>6C</v>
      </c>
      <c r="C10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::gCommOutput.Array[107] AT %QW."8FLM01.0000.00I-1".EPL_FB_OUT_107_I2008_S6COut;</v>
      </c>
    </row>
    <row r="110" spans="1:3" x14ac:dyDescent="0.25">
      <c r="A110">
        <f t="shared" si="1"/>
        <v>108</v>
      </c>
      <c r="B110" t="str">
        <f>DEC2HEX(Tabelle24[[#This Row],[Zeilennummer]]+1,2)</f>
        <v>6D</v>
      </c>
      <c r="C11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::gCommOutput.Array[108] AT %QW."8FLM01.0000.00I-1".EPL_FB_OUT_108_I2008_S6DOut;</v>
      </c>
    </row>
    <row r="111" spans="1:3" x14ac:dyDescent="0.25">
      <c r="A111">
        <f t="shared" si="1"/>
        <v>109</v>
      </c>
      <c r="B111" t="str">
        <f>DEC2HEX(Tabelle24[[#This Row],[Zeilennummer]]+1,2)</f>
        <v>6E</v>
      </c>
      <c r="C11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::gCommOutput.Array[109] AT %QW."8FLM01.0000.00I-1".EPL_FB_OUT_109_I2008_S6EOut;</v>
      </c>
    </row>
    <row r="112" spans="1:3" x14ac:dyDescent="0.25">
      <c r="A112">
        <f t="shared" si="1"/>
        <v>110</v>
      </c>
      <c r="B112" t="str">
        <f>DEC2HEX(Tabelle24[[#This Row],[Zeilennummer]]+1,2)</f>
        <v>6F</v>
      </c>
      <c r="C11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::gCommOutput.Array[110] AT %QW."8FLM01.0000.00I-1".EPL_FB_OUT_110_I2008_S6FOut;</v>
      </c>
    </row>
    <row r="113" spans="1:3" x14ac:dyDescent="0.25">
      <c r="A113">
        <f t="shared" si="1"/>
        <v>111</v>
      </c>
      <c r="B113" t="str">
        <f>DEC2HEX(Tabelle24[[#This Row],[Zeilennummer]]+1,2)</f>
        <v>70</v>
      </c>
      <c r="C11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::gCommOutput.Array[111] AT %QW."8FLM01.0000.00I-1".EPL_FB_OUT_111_I2008_S70Out;</v>
      </c>
    </row>
    <row r="114" spans="1:3" x14ac:dyDescent="0.25">
      <c r="A114">
        <f t="shared" si="1"/>
        <v>112</v>
      </c>
      <c r="B114" t="str">
        <f>DEC2HEX(Tabelle24[[#This Row],[Zeilennummer]]+1,2)</f>
        <v>71</v>
      </c>
      <c r="C11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::gCommOutput.Array[112] AT %QW."8FLM01.0000.00I-1".EPL_FB_OUT_112_I2008_S71Out;</v>
      </c>
    </row>
    <row r="115" spans="1:3" x14ac:dyDescent="0.25">
      <c r="A115">
        <f t="shared" si="1"/>
        <v>113</v>
      </c>
      <c r="B115" t="str">
        <f>DEC2HEX(Tabelle24[[#This Row],[Zeilennummer]]+1,2)</f>
        <v>72</v>
      </c>
      <c r="C11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::gCommOutput.Array[113] AT %QW."8FLM01.0000.00I-1".EPL_FB_OUT_113_I2008_S72Out;</v>
      </c>
    </row>
    <row r="116" spans="1:3" x14ac:dyDescent="0.25">
      <c r="A116">
        <f t="shared" si="1"/>
        <v>114</v>
      </c>
      <c r="B116" t="str">
        <f>DEC2HEX(Tabelle24[[#This Row],[Zeilennummer]]+1,2)</f>
        <v>73</v>
      </c>
      <c r="C11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::gCommOutput.Array[114] AT %QW."8FLM01.0000.00I-1".EPL_FB_OUT_114_I2008_S73Out;</v>
      </c>
    </row>
    <row r="117" spans="1:3" x14ac:dyDescent="0.25">
      <c r="A117">
        <f t="shared" si="1"/>
        <v>115</v>
      </c>
      <c r="B117" t="str">
        <f>DEC2HEX(Tabelle24[[#This Row],[Zeilennummer]]+1,2)</f>
        <v>74</v>
      </c>
      <c r="C11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::gCommOutput.Array[115] AT %QW."8FLM01.0000.00I-1".EPL_FB_OUT_115_I2008_S74Out;</v>
      </c>
    </row>
    <row r="118" spans="1:3" x14ac:dyDescent="0.25">
      <c r="A118">
        <f t="shared" si="1"/>
        <v>116</v>
      </c>
      <c r="B118" t="str">
        <f>DEC2HEX(Tabelle24[[#This Row],[Zeilennummer]]+1,2)</f>
        <v>75</v>
      </c>
      <c r="C11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::gCommOutput.Array[116] AT %QW."8FLM01.0000.00I-1".EPL_FB_OUT_116_I2008_S75Out;</v>
      </c>
    </row>
    <row r="119" spans="1:3" x14ac:dyDescent="0.25">
      <c r="A119">
        <f t="shared" si="1"/>
        <v>117</v>
      </c>
      <c r="B119" t="str">
        <f>DEC2HEX(Tabelle24[[#This Row],[Zeilennummer]]+1,2)</f>
        <v>76</v>
      </c>
      <c r="C11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::gCommOutput.Array[117] AT %QW."8FLM01.0000.00I-1".EPL_FB_OUT_117_I2008_S76Out;</v>
      </c>
    </row>
    <row r="120" spans="1:3" x14ac:dyDescent="0.25">
      <c r="A120">
        <f t="shared" si="1"/>
        <v>118</v>
      </c>
      <c r="B120" t="str">
        <f>DEC2HEX(Tabelle24[[#This Row],[Zeilennummer]]+1,2)</f>
        <v>77</v>
      </c>
      <c r="C12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::gCommOutput.Array[118] AT %QW."8FLM01.0000.00I-1".EPL_FB_OUT_118_I2008_S77Out;</v>
      </c>
    </row>
    <row r="121" spans="1:3" x14ac:dyDescent="0.25">
      <c r="A121">
        <f t="shared" si="1"/>
        <v>119</v>
      </c>
      <c r="B121" t="str">
        <f>DEC2HEX(Tabelle24[[#This Row],[Zeilennummer]]+1,2)</f>
        <v>78</v>
      </c>
      <c r="C12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::gCommOutput.Array[119] AT %QW."8FLM01.0000.00I-1".EPL_FB_OUT_119_I2008_S78Out;</v>
      </c>
    </row>
    <row r="122" spans="1:3" x14ac:dyDescent="0.25">
      <c r="A122">
        <f t="shared" si="1"/>
        <v>120</v>
      </c>
      <c r="B122" t="str">
        <f>DEC2HEX(Tabelle24[[#This Row],[Zeilennummer]]+1,2)</f>
        <v>79</v>
      </c>
      <c r="C12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::gCommOutput.Array[120] AT %QW."8FLM01.0000.00I-1".EPL_FB_OUT_120_I2008_S79Out;</v>
      </c>
    </row>
    <row r="123" spans="1:3" x14ac:dyDescent="0.25">
      <c r="A123">
        <f t="shared" si="1"/>
        <v>121</v>
      </c>
      <c r="B123" t="str">
        <f>DEC2HEX(Tabelle24[[#This Row],[Zeilennummer]]+1,2)</f>
        <v>7A</v>
      </c>
      <c r="C12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::gCommOutput.Array[121] AT %QW."8FLM01.0000.00I-1".EPL_FB_OUT_121_I2008_S7AOut;</v>
      </c>
    </row>
    <row r="124" spans="1:3" x14ac:dyDescent="0.25">
      <c r="A124">
        <f t="shared" si="1"/>
        <v>122</v>
      </c>
      <c r="B124" t="str">
        <f>DEC2HEX(Tabelle24[[#This Row],[Zeilennummer]]+1,2)</f>
        <v>7B</v>
      </c>
      <c r="C12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::gCommOutput.Array[122] AT %QW."8FLM01.0000.00I-1".EPL_FB_OUT_122_I2008_S7BOut;</v>
      </c>
    </row>
    <row r="125" spans="1:3" x14ac:dyDescent="0.25">
      <c r="A125">
        <f t="shared" si="1"/>
        <v>123</v>
      </c>
      <c r="B125" t="str">
        <f>DEC2HEX(Tabelle24[[#This Row],[Zeilennummer]]+1,2)</f>
        <v>7C</v>
      </c>
      <c r="C12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::gCommOutput.Array[123] AT %QW."8FLM01.0000.00I-1".EPL_FB_OUT_123_I2008_S7COut;</v>
      </c>
    </row>
    <row r="126" spans="1:3" x14ac:dyDescent="0.25">
      <c r="A126">
        <f t="shared" si="1"/>
        <v>124</v>
      </c>
      <c r="B126" t="str">
        <f>DEC2HEX(Tabelle24[[#This Row],[Zeilennummer]]+1,2)</f>
        <v>7D</v>
      </c>
      <c r="C12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::gCommOutput.Array[124] AT %QW."8FLM01.0000.00I-1".EPL_FB_OUT_124_I2008_S7DOut;</v>
      </c>
    </row>
    <row r="127" spans="1:3" x14ac:dyDescent="0.25">
      <c r="A127">
        <f t="shared" si="1"/>
        <v>125</v>
      </c>
      <c r="B127" t="str">
        <f>DEC2HEX(Tabelle24[[#This Row],[Zeilennummer]]+1,2)</f>
        <v>7E</v>
      </c>
      <c r="C12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::gCommOutput.Array[125] AT %QW."8FLM01.0000.00I-1".EPL_FB_OUT_125_I2008_S7EOut;</v>
      </c>
    </row>
    <row r="128" spans="1:3" x14ac:dyDescent="0.25">
      <c r="A128">
        <f t="shared" si="1"/>
        <v>126</v>
      </c>
      <c r="B128" t="str">
        <f>DEC2HEX(Tabelle24[[#This Row],[Zeilennummer]]+1,2)</f>
        <v>7F</v>
      </c>
      <c r="C12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::gCommOutput.Array[126] AT %QW."8FLM01.0000.00I-1".EPL_FB_OUT_126_I2008_S7FOut;</v>
      </c>
    </row>
    <row r="129" spans="1:3" x14ac:dyDescent="0.25">
      <c r="A129">
        <f t="shared" si="1"/>
        <v>127</v>
      </c>
      <c r="B129" t="str">
        <f>DEC2HEX(Tabelle24[[#This Row],[Zeilennummer]]+1,2)</f>
        <v>80</v>
      </c>
      <c r="C12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::gCommOutput.Array[127] AT %QW."8FLM01.0000.00I-1".EPL_FB_OUT_127_I2008_S80Out;</v>
      </c>
    </row>
    <row r="130" spans="1:3" x14ac:dyDescent="0.25">
      <c r="A130">
        <f t="shared" ref="A130:A193" si="2">ROW()-2</f>
        <v>128</v>
      </c>
      <c r="B130" t="str">
        <f>DEC2HEX(Tabelle24[[#This Row],[Zeilennummer]]+1,2)</f>
        <v>81</v>
      </c>
      <c r="C13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::gCommOutput.Array[128] AT %QW."8FLM01.0000.00I-1".EPL_FB_OUT_128_I2008_S81Out;</v>
      </c>
    </row>
    <row r="131" spans="1:3" x14ac:dyDescent="0.25">
      <c r="A131">
        <f t="shared" si="2"/>
        <v>129</v>
      </c>
      <c r="B131" t="str">
        <f>DEC2HEX(Tabelle24[[#This Row],[Zeilennummer]]+1,2)</f>
        <v>82</v>
      </c>
      <c r="C13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::gCommOutput.Array[129] AT %QW."8FLM01.0000.00I-1".EPL_FB_OUT_129_I2008_S82Out;</v>
      </c>
    </row>
    <row r="132" spans="1:3" x14ac:dyDescent="0.25">
      <c r="A132">
        <f t="shared" si="2"/>
        <v>130</v>
      </c>
      <c r="B132" t="str">
        <f>DEC2HEX(Tabelle24[[#This Row],[Zeilennummer]]+1,2)</f>
        <v>83</v>
      </c>
      <c r="C13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::gCommOutput.Array[130] AT %QW."8FLM01.0000.00I-1".EPL_FB_OUT_130_I2008_S83Out;</v>
      </c>
    </row>
    <row r="133" spans="1:3" x14ac:dyDescent="0.25">
      <c r="A133">
        <f t="shared" si="2"/>
        <v>131</v>
      </c>
      <c r="B133" t="str">
        <f>DEC2HEX(Tabelle24[[#This Row],[Zeilennummer]]+1,2)</f>
        <v>84</v>
      </c>
      <c r="C13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::gCommOutput.Array[131] AT %QW."8FLM01.0000.00I-1".EPL_FB_OUT_131_I2008_S84Out;</v>
      </c>
    </row>
    <row r="134" spans="1:3" x14ac:dyDescent="0.25">
      <c r="A134">
        <f t="shared" si="2"/>
        <v>132</v>
      </c>
      <c r="B134" t="str">
        <f>DEC2HEX(Tabelle24[[#This Row],[Zeilennummer]]+1,2)</f>
        <v>85</v>
      </c>
      <c r="C13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::gCommOutput.Array[132] AT %QW."8FLM01.0000.00I-1".EPL_FB_OUT_132_I2008_S85Out;</v>
      </c>
    </row>
    <row r="135" spans="1:3" x14ac:dyDescent="0.25">
      <c r="A135">
        <f t="shared" si="2"/>
        <v>133</v>
      </c>
      <c r="B135" t="str">
        <f>DEC2HEX(Tabelle24[[#This Row],[Zeilennummer]]+1,2)</f>
        <v>86</v>
      </c>
      <c r="C13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::gCommOutput.Array[133] AT %QW."8FLM01.0000.00I-1".EPL_FB_OUT_133_I2008_S86Out;</v>
      </c>
    </row>
    <row r="136" spans="1:3" x14ac:dyDescent="0.25">
      <c r="A136">
        <f t="shared" si="2"/>
        <v>134</v>
      </c>
      <c r="B136" t="str">
        <f>DEC2HEX(Tabelle24[[#This Row],[Zeilennummer]]+1,2)</f>
        <v>87</v>
      </c>
      <c r="C13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::gCommOutput.Array[134] AT %QW."8FLM01.0000.00I-1".EPL_FB_OUT_134_I2008_S87Out;</v>
      </c>
    </row>
    <row r="137" spans="1:3" x14ac:dyDescent="0.25">
      <c r="A137">
        <f t="shared" si="2"/>
        <v>135</v>
      </c>
      <c r="B137" t="str">
        <f>DEC2HEX(Tabelle24[[#This Row],[Zeilennummer]]+1,2)</f>
        <v>88</v>
      </c>
      <c r="C13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::gCommOutput.Array[135] AT %QW."8FLM01.0000.00I-1".EPL_FB_OUT_135_I2008_S88Out;</v>
      </c>
    </row>
    <row r="138" spans="1:3" x14ac:dyDescent="0.25">
      <c r="A138">
        <f t="shared" si="2"/>
        <v>136</v>
      </c>
      <c r="B138" t="str">
        <f>DEC2HEX(Tabelle24[[#This Row],[Zeilennummer]]+1,2)</f>
        <v>89</v>
      </c>
      <c r="C13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::gCommOutput.Array[136] AT %QW."8FLM01.0000.00I-1".EPL_FB_OUT_136_I2008_S89Out;</v>
      </c>
    </row>
    <row r="139" spans="1:3" x14ac:dyDescent="0.25">
      <c r="A139">
        <f t="shared" si="2"/>
        <v>137</v>
      </c>
      <c r="B139" t="str">
        <f>DEC2HEX(Tabelle24[[#This Row],[Zeilennummer]]+1,2)</f>
        <v>8A</v>
      </c>
      <c r="C13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::gCommOutput.Array[137] AT %QW."8FLM01.0000.00I-1".EPL_FB_OUT_137_I2008_S8AOut;</v>
      </c>
    </row>
    <row r="140" spans="1:3" x14ac:dyDescent="0.25">
      <c r="A140">
        <f t="shared" si="2"/>
        <v>138</v>
      </c>
      <c r="B140" t="str">
        <f>DEC2HEX(Tabelle24[[#This Row],[Zeilennummer]]+1,2)</f>
        <v>8B</v>
      </c>
      <c r="C14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::gCommOutput.Array[138] AT %QW."8FLM01.0000.00I-1".EPL_FB_OUT_138_I2008_S8BOut;</v>
      </c>
    </row>
    <row r="141" spans="1:3" x14ac:dyDescent="0.25">
      <c r="A141">
        <f t="shared" si="2"/>
        <v>139</v>
      </c>
      <c r="B141" t="str">
        <f>DEC2HEX(Tabelle24[[#This Row],[Zeilennummer]]+1,2)</f>
        <v>8C</v>
      </c>
      <c r="C14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::gCommOutput.Array[139] AT %QW."8FLM01.0000.00I-1".EPL_FB_OUT_139_I2008_S8COut;</v>
      </c>
    </row>
    <row r="142" spans="1:3" x14ac:dyDescent="0.25">
      <c r="A142">
        <f t="shared" si="2"/>
        <v>140</v>
      </c>
      <c r="B142" t="str">
        <f>DEC2HEX(Tabelle24[[#This Row],[Zeilennummer]]+1,2)</f>
        <v>8D</v>
      </c>
      <c r="C14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::gCommOutput.Array[140] AT %QW."8FLM01.0000.00I-1".EPL_FB_OUT_140_I2008_S8DOut;</v>
      </c>
    </row>
    <row r="143" spans="1:3" x14ac:dyDescent="0.25">
      <c r="A143">
        <f t="shared" si="2"/>
        <v>141</v>
      </c>
      <c r="B143" t="str">
        <f>DEC2HEX(Tabelle24[[#This Row],[Zeilennummer]]+1,2)</f>
        <v>8E</v>
      </c>
      <c r="C14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::gCommOutput.Array[141] AT %QW."8FLM01.0000.00I-1".EPL_FB_OUT_141_I2008_S8EOut;</v>
      </c>
    </row>
    <row r="144" spans="1:3" x14ac:dyDescent="0.25">
      <c r="A144">
        <f t="shared" si="2"/>
        <v>142</v>
      </c>
      <c r="B144" t="str">
        <f>DEC2HEX(Tabelle24[[#This Row],[Zeilennummer]]+1,2)</f>
        <v>8F</v>
      </c>
      <c r="C14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::gCommOutput.Array[142] AT %QW."8FLM01.0000.00I-1".EPL_FB_OUT_142_I2008_S8FOut;</v>
      </c>
    </row>
    <row r="145" spans="1:3" x14ac:dyDescent="0.25">
      <c r="A145">
        <f t="shared" si="2"/>
        <v>143</v>
      </c>
      <c r="B145" t="str">
        <f>DEC2HEX(Tabelle24[[#This Row],[Zeilennummer]]+1,2)</f>
        <v>90</v>
      </c>
      <c r="C14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::gCommOutput.Array[143] AT %QW."8FLM01.0000.00I-1".EPL_FB_OUT_143_I2008_S90Out;</v>
      </c>
    </row>
    <row r="146" spans="1:3" x14ac:dyDescent="0.25">
      <c r="A146">
        <f t="shared" si="2"/>
        <v>144</v>
      </c>
      <c r="B146" t="str">
        <f>DEC2HEX(Tabelle24[[#This Row],[Zeilennummer]]+1,2)</f>
        <v>91</v>
      </c>
      <c r="C14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::gCommOutput.Array[144] AT %QW."8FLM01.0000.00I-1".EPL_FB_OUT_144_I2008_S91Out;</v>
      </c>
    </row>
    <row r="147" spans="1:3" x14ac:dyDescent="0.25">
      <c r="A147">
        <f t="shared" si="2"/>
        <v>145</v>
      </c>
      <c r="B147" t="str">
        <f>DEC2HEX(Tabelle24[[#This Row],[Zeilennummer]]+1,2)</f>
        <v>92</v>
      </c>
      <c r="C14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::gCommOutput.Array[145] AT %QW."8FLM01.0000.00I-1".EPL_FB_OUT_145_I2008_S92Out;</v>
      </c>
    </row>
    <row r="148" spans="1:3" x14ac:dyDescent="0.25">
      <c r="A148">
        <f t="shared" si="2"/>
        <v>146</v>
      </c>
      <c r="B148" t="str">
        <f>DEC2HEX(Tabelle24[[#This Row],[Zeilennummer]]+1,2)</f>
        <v>93</v>
      </c>
      <c r="C14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::gCommOutput.Array[146] AT %QW."8FLM01.0000.00I-1".EPL_FB_OUT_146_I2008_S93Out;</v>
      </c>
    </row>
    <row r="149" spans="1:3" x14ac:dyDescent="0.25">
      <c r="A149">
        <f t="shared" si="2"/>
        <v>147</v>
      </c>
      <c r="B149" t="str">
        <f>DEC2HEX(Tabelle24[[#This Row],[Zeilennummer]]+1,2)</f>
        <v>94</v>
      </c>
      <c r="C14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::gCommOutput.Array[147] AT %QW."8FLM01.0000.00I-1".EPL_FB_OUT_147_I2008_S94Out;</v>
      </c>
    </row>
    <row r="150" spans="1:3" x14ac:dyDescent="0.25">
      <c r="A150">
        <f t="shared" si="2"/>
        <v>148</v>
      </c>
      <c r="B150" t="str">
        <f>DEC2HEX(Tabelle24[[#This Row],[Zeilennummer]]+1,2)</f>
        <v>95</v>
      </c>
      <c r="C15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::gCommOutput.Array[148] AT %QW."8FLM01.0000.00I-1".EPL_FB_OUT_148_I2008_S95Out;</v>
      </c>
    </row>
    <row r="151" spans="1:3" x14ac:dyDescent="0.25">
      <c r="A151">
        <f t="shared" si="2"/>
        <v>149</v>
      </c>
      <c r="B151" t="str">
        <f>DEC2HEX(Tabelle24[[#This Row],[Zeilennummer]]+1,2)</f>
        <v>96</v>
      </c>
      <c r="C15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::gCommOutput.Array[149] AT %QW."8FLM01.0000.00I-1".EPL_FB_OUT_149_I2008_S96Out;</v>
      </c>
    </row>
    <row r="152" spans="1:3" x14ac:dyDescent="0.25">
      <c r="A152">
        <f t="shared" si="2"/>
        <v>150</v>
      </c>
      <c r="B152" t="str">
        <f>DEC2HEX(Tabelle24[[#This Row],[Zeilennummer]]+1,2)</f>
        <v>97</v>
      </c>
      <c r="C15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::gCommOutput.Array[150] AT %QW."8FLM01.0000.00I-1".EPL_FB_OUT_150_I2008_S97Out;</v>
      </c>
    </row>
    <row r="153" spans="1:3" x14ac:dyDescent="0.25">
      <c r="A153">
        <f t="shared" si="2"/>
        <v>151</v>
      </c>
      <c r="B153" t="str">
        <f>DEC2HEX(Tabelle24[[#This Row],[Zeilennummer]]+1,2)</f>
        <v>98</v>
      </c>
      <c r="C15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::gCommOutput.Array[151] AT %QW."8FLM01.0000.00I-1".EPL_FB_OUT_151_I2008_S98Out;</v>
      </c>
    </row>
    <row r="154" spans="1:3" x14ac:dyDescent="0.25">
      <c r="A154">
        <f t="shared" si="2"/>
        <v>152</v>
      </c>
      <c r="B154" t="str">
        <f>DEC2HEX(Tabelle24[[#This Row],[Zeilennummer]]+1,2)</f>
        <v>99</v>
      </c>
      <c r="C15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::gCommOutput.Array[152] AT %QW."8FLM01.0000.00I-1".EPL_FB_OUT_152_I2008_S99Out;</v>
      </c>
    </row>
    <row r="155" spans="1:3" x14ac:dyDescent="0.25">
      <c r="A155">
        <f t="shared" si="2"/>
        <v>153</v>
      </c>
      <c r="B155" t="str">
        <f>DEC2HEX(Tabelle24[[#This Row],[Zeilennummer]]+1,2)</f>
        <v>9A</v>
      </c>
      <c r="C15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::gCommOutput.Array[153] AT %QW."8FLM01.0000.00I-1".EPL_FB_OUT_153_I2008_S9AOut;</v>
      </c>
    </row>
    <row r="156" spans="1:3" x14ac:dyDescent="0.25">
      <c r="A156">
        <f t="shared" si="2"/>
        <v>154</v>
      </c>
      <c r="B156" t="str">
        <f>DEC2HEX(Tabelle24[[#This Row],[Zeilennummer]]+1,2)</f>
        <v>9B</v>
      </c>
      <c r="C15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::gCommOutput.Array[154] AT %QW."8FLM01.0000.00I-1".EPL_FB_OUT_154_I2008_S9BOut;</v>
      </c>
    </row>
    <row r="157" spans="1:3" x14ac:dyDescent="0.25">
      <c r="A157">
        <f t="shared" si="2"/>
        <v>155</v>
      </c>
      <c r="B157" t="str">
        <f>DEC2HEX(Tabelle24[[#This Row],[Zeilennummer]]+1,2)</f>
        <v>9C</v>
      </c>
      <c r="C15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::gCommOutput.Array[155] AT %QW."8FLM01.0000.00I-1".EPL_FB_OUT_155_I2008_S9COut;</v>
      </c>
    </row>
    <row r="158" spans="1:3" x14ac:dyDescent="0.25">
      <c r="A158">
        <f t="shared" si="2"/>
        <v>156</v>
      </c>
      <c r="B158" t="str">
        <f>DEC2HEX(Tabelle24[[#This Row],[Zeilennummer]]+1,2)</f>
        <v>9D</v>
      </c>
      <c r="C15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::gCommOutput.Array[156] AT %QW."8FLM01.0000.00I-1".EPL_FB_OUT_156_I2008_S9DOut;</v>
      </c>
    </row>
    <row r="159" spans="1:3" x14ac:dyDescent="0.25">
      <c r="A159">
        <f t="shared" si="2"/>
        <v>157</v>
      </c>
      <c r="B159" t="str">
        <f>DEC2HEX(Tabelle24[[#This Row],[Zeilennummer]]+1,2)</f>
        <v>9E</v>
      </c>
      <c r="C15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::gCommOutput.Array[157] AT %QW."8FLM01.0000.00I-1".EPL_FB_OUT_157_I2008_S9EOut;</v>
      </c>
    </row>
    <row r="160" spans="1:3" x14ac:dyDescent="0.25">
      <c r="A160">
        <f t="shared" si="2"/>
        <v>158</v>
      </c>
      <c r="B160" t="str">
        <f>DEC2HEX(Tabelle24[[#This Row],[Zeilennummer]]+1,2)</f>
        <v>9F</v>
      </c>
      <c r="C16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::gCommOutput.Array[158] AT %QW."8FLM01.0000.00I-1".EPL_FB_OUT_158_I2008_S9FOut;</v>
      </c>
    </row>
    <row r="161" spans="1:3" x14ac:dyDescent="0.25">
      <c r="A161">
        <f t="shared" si="2"/>
        <v>159</v>
      </c>
      <c r="B161" t="str">
        <f>DEC2HEX(Tabelle24[[#This Row],[Zeilennummer]]+1,2)</f>
        <v>A0</v>
      </c>
      <c r="C16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::gCommOutput.Array[159] AT %QW."8FLM01.0000.00I-1".EPL_FB_OUT_159_I2008_SA0Out;</v>
      </c>
    </row>
    <row r="162" spans="1:3" x14ac:dyDescent="0.25">
      <c r="A162">
        <f t="shared" si="2"/>
        <v>160</v>
      </c>
      <c r="B162" t="str">
        <f>DEC2HEX(Tabelle24[[#This Row],[Zeilennummer]]+1,2)</f>
        <v>A1</v>
      </c>
      <c r="C16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::gCommOutput.Array[160] AT %QW."8FLM01.0000.00I-1".EPL_FB_OUT_160_I2008_SA1Out;</v>
      </c>
    </row>
    <row r="163" spans="1:3" x14ac:dyDescent="0.25">
      <c r="A163">
        <f t="shared" si="2"/>
        <v>161</v>
      </c>
      <c r="B163" t="str">
        <f>DEC2HEX(Tabelle24[[#This Row],[Zeilennummer]]+1,2)</f>
        <v>A2</v>
      </c>
      <c r="C16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::gCommOutput.Array[161] AT %QW."8FLM01.0000.00I-1".EPL_FB_OUT_161_I2008_SA2Out;</v>
      </c>
    </row>
    <row r="164" spans="1:3" x14ac:dyDescent="0.25">
      <c r="A164">
        <f t="shared" si="2"/>
        <v>162</v>
      </c>
      <c r="B164" t="str">
        <f>DEC2HEX(Tabelle24[[#This Row],[Zeilennummer]]+1,2)</f>
        <v>A3</v>
      </c>
      <c r="C16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::gCommOutput.Array[162] AT %QW."8FLM01.0000.00I-1".EPL_FB_OUT_162_I2008_SA3Out;</v>
      </c>
    </row>
    <row r="165" spans="1:3" x14ac:dyDescent="0.25">
      <c r="A165">
        <f t="shared" si="2"/>
        <v>163</v>
      </c>
      <c r="B165" t="str">
        <f>DEC2HEX(Tabelle24[[#This Row],[Zeilennummer]]+1,2)</f>
        <v>A4</v>
      </c>
      <c r="C16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::gCommOutput.Array[163] AT %QW."8FLM01.0000.00I-1".EPL_FB_OUT_163_I2008_SA4Out;</v>
      </c>
    </row>
    <row r="166" spans="1:3" x14ac:dyDescent="0.25">
      <c r="A166">
        <f t="shared" si="2"/>
        <v>164</v>
      </c>
      <c r="B166" t="str">
        <f>DEC2HEX(Tabelle24[[#This Row],[Zeilennummer]]+1,2)</f>
        <v>A5</v>
      </c>
      <c r="C16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::gCommOutput.Array[164] AT %QW."8FLM01.0000.00I-1".EPL_FB_OUT_164_I2008_SA5Out;</v>
      </c>
    </row>
    <row r="167" spans="1:3" x14ac:dyDescent="0.25">
      <c r="A167">
        <f t="shared" si="2"/>
        <v>165</v>
      </c>
      <c r="B167" t="str">
        <f>DEC2HEX(Tabelle24[[#This Row],[Zeilennummer]]+1,2)</f>
        <v>A6</v>
      </c>
      <c r="C16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::gCommOutput.Array[165] AT %QW."8FLM01.0000.00I-1".EPL_FB_OUT_165_I2008_SA6Out;</v>
      </c>
    </row>
    <row r="168" spans="1:3" x14ac:dyDescent="0.25">
      <c r="A168">
        <f t="shared" si="2"/>
        <v>166</v>
      </c>
      <c r="B168" t="str">
        <f>DEC2HEX(Tabelle24[[#This Row],[Zeilennummer]]+1,2)</f>
        <v>A7</v>
      </c>
      <c r="C16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::gCommOutput.Array[166] AT %QW."8FLM01.0000.00I-1".EPL_FB_OUT_166_I2008_SA7Out;</v>
      </c>
    </row>
    <row r="169" spans="1:3" x14ac:dyDescent="0.25">
      <c r="A169">
        <f t="shared" si="2"/>
        <v>167</v>
      </c>
      <c r="B169" t="str">
        <f>DEC2HEX(Tabelle24[[#This Row],[Zeilennummer]]+1,2)</f>
        <v>A8</v>
      </c>
      <c r="C16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::gCommOutput.Array[167] AT %QW."8FLM01.0000.00I-1".EPL_FB_OUT_167_I2008_SA8Out;</v>
      </c>
    </row>
    <row r="170" spans="1:3" x14ac:dyDescent="0.25">
      <c r="A170">
        <f t="shared" si="2"/>
        <v>168</v>
      </c>
      <c r="B170" t="str">
        <f>DEC2HEX(Tabelle24[[#This Row],[Zeilennummer]]+1,2)</f>
        <v>A9</v>
      </c>
      <c r="C17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::gCommOutput.Array[168] AT %QW."8FLM01.0000.00I-1".EPL_FB_OUT_168_I2008_SA9Out;</v>
      </c>
    </row>
    <row r="171" spans="1:3" x14ac:dyDescent="0.25">
      <c r="A171">
        <f t="shared" si="2"/>
        <v>169</v>
      </c>
      <c r="B171" t="str">
        <f>DEC2HEX(Tabelle24[[#This Row],[Zeilennummer]]+1,2)</f>
        <v>AA</v>
      </c>
      <c r="C17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::gCommOutput.Array[169] AT %QW."8FLM01.0000.00I-1".EPL_FB_OUT_169_I2008_SAAOut;</v>
      </c>
    </row>
    <row r="172" spans="1:3" x14ac:dyDescent="0.25">
      <c r="A172">
        <f t="shared" si="2"/>
        <v>170</v>
      </c>
      <c r="B172" t="str">
        <f>DEC2HEX(Tabelle24[[#This Row],[Zeilennummer]]+1,2)</f>
        <v>AB</v>
      </c>
      <c r="C17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::gCommOutput.Array[170] AT %QW."8FLM01.0000.00I-1".EPL_FB_OUT_170_I2008_SABOut;</v>
      </c>
    </row>
    <row r="173" spans="1:3" x14ac:dyDescent="0.25">
      <c r="A173">
        <f t="shared" si="2"/>
        <v>171</v>
      </c>
      <c r="B173" t="str">
        <f>DEC2HEX(Tabelle24[[#This Row],[Zeilennummer]]+1,2)</f>
        <v>AC</v>
      </c>
      <c r="C17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::gCommOutput.Array[171] AT %QW."8FLM01.0000.00I-1".EPL_FB_OUT_171_I2008_SACOut;</v>
      </c>
    </row>
    <row r="174" spans="1:3" x14ac:dyDescent="0.25">
      <c r="A174">
        <f t="shared" si="2"/>
        <v>172</v>
      </c>
      <c r="B174" t="str">
        <f>DEC2HEX(Tabelle24[[#This Row],[Zeilennummer]]+1,2)</f>
        <v>AD</v>
      </c>
      <c r="C17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::gCommOutput.Array[172] AT %QW."8FLM01.0000.00I-1".EPL_FB_OUT_172_I2008_SADOut;</v>
      </c>
    </row>
    <row r="175" spans="1:3" x14ac:dyDescent="0.25">
      <c r="A175">
        <f t="shared" si="2"/>
        <v>173</v>
      </c>
      <c r="B175" t="str">
        <f>DEC2HEX(Tabelle24[[#This Row],[Zeilennummer]]+1,2)</f>
        <v>AE</v>
      </c>
      <c r="C17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::gCommOutput.Array[173] AT %QW."8FLM01.0000.00I-1".EPL_FB_OUT_173_I2008_SAEOut;</v>
      </c>
    </row>
    <row r="176" spans="1:3" x14ac:dyDescent="0.25">
      <c r="A176">
        <f t="shared" si="2"/>
        <v>174</v>
      </c>
      <c r="B176" t="str">
        <f>DEC2HEX(Tabelle24[[#This Row],[Zeilennummer]]+1,2)</f>
        <v>AF</v>
      </c>
      <c r="C17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::gCommOutput.Array[174] AT %QW."8FLM01.0000.00I-1".EPL_FB_OUT_174_I2008_SAFOut;</v>
      </c>
    </row>
    <row r="177" spans="1:3" x14ac:dyDescent="0.25">
      <c r="A177">
        <f t="shared" si="2"/>
        <v>175</v>
      </c>
      <c r="B177" t="str">
        <f>DEC2HEX(Tabelle24[[#This Row],[Zeilennummer]]+1,2)</f>
        <v>B0</v>
      </c>
      <c r="C17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::gCommOutput.Array[175] AT %QW."8FLM01.0000.00I-1".EPL_FB_OUT_175_I2008_SB0Out;</v>
      </c>
    </row>
    <row r="178" spans="1:3" x14ac:dyDescent="0.25">
      <c r="A178">
        <f t="shared" si="2"/>
        <v>176</v>
      </c>
      <c r="B178" t="str">
        <f>DEC2HEX(Tabelle24[[#This Row],[Zeilennummer]]+1,2)</f>
        <v>B1</v>
      </c>
      <c r="C17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::gCommOutput.Array[176] AT %QW."8FLM01.0000.00I-1".EPL_FB_OUT_176_I2008_SB1Out;</v>
      </c>
    </row>
    <row r="179" spans="1:3" x14ac:dyDescent="0.25">
      <c r="A179">
        <f t="shared" si="2"/>
        <v>177</v>
      </c>
      <c r="B179" t="str">
        <f>DEC2HEX(Tabelle24[[#This Row],[Zeilennummer]]+1,2)</f>
        <v>B2</v>
      </c>
      <c r="C17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::gCommOutput.Array[177] AT %QW."8FLM01.0000.00I-1".EPL_FB_OUT_177_I2008_SB2Out;</v>
      </c>
    </row>
    <row r="180" spans="1:3" x14ac:dyDescent="0.25">
      <c r="A180">
        <f t="shared" si="2"/>
        <v>178</v>
      </c>
      <c r="B180" t="str">
        <f>DEC2HEX(Tabelle24[[#This Row],[Zeilennummer]]+1,2)</f>
        <v>B3</v>
      </c>
      <c r="C18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::gCommOutput.Array[178] AT %QW."8FLM01.0000.00I-1".EPL_FB_OUT_178_I2008_SB3Out;</v>
      </c>
    </row>
    <row r="181" spans="1:3" x14ac:dyDescent="0.25">
      <c r="A181">
        <f t="shared" si="2"/>
        <v>179</v>
      </c>
      <c r="B181" t="str">
        <f>DEC2HEX(Tabelle24[[#This Row],[Zeilennummer]]+1,2)</f>
        <v>B4</v>
      </c>
      <c r="C18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::gCommOutput.Array[179] AT %QW."8FLM01.0000.00I-1".EPL_FB_OUT_179_I2008_SB4Out;</v>
      </c>
    </row>
    <row r="182" spans="1:3" x14ac:dyDescent="0.25">
      <c r="A182">
        <f t="shared" si="2"/>
        <v>180</v>
      </c>
      <c r="B182" t="str">
        <f>DEC2HEX(Tabelle24[[#This Row],[Zeilennummer]]+1,2)</f>
        <v>B5</v>
      </c>
      <c r="C18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::gCommOutput.Array[180] AT %QW."8FLM01.0000.00I-1".EPL_FB_OUT_180_I2008_SB5Out;</v>
      </c>
    </row>
    <row r="183" spans="1:3" x14ac:dyDescent="0.25">
      <c r="A183">
        <f t="shared" si="2"/>
        <v>181</v>
      </c>
      <c r="B183" t="str">
        <f>DEC2HEX(Tabelle24[[#This Row],[Zeilennummer]]+1,2)</f>
        <v>B6</v>
      </c>
      <c r="C18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::gCommOutput.Array[181] AT %QW."8FLM01.0000.00I-1".EPL_FB_OUT_181_I2008_SB6Out;</v>
      </c>
    </row>
    <row r="184" spans="1:3" x14ac:dyDescent="0.25">
      <c r="A184">
        <f t="shared" si="2"/>
        <v>182</v>
      </c>
      <c r="B184" t="str">
        <f>DEC2HEX(Tabelle24[[#This Row],[Zeilennummer]]+1,2)</f>
        <v>B7</v>
      </c>
      <c r="C18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::gCommOutput.Array[182] AT %QW."8FLM01.0000.00I-1".EPL_FB_OUT_182_I2008_SB7Out;</v>
      </c>
    </row>
    <row r="185" spans="1:3" x14ac:dyDescent="0.25">
      <c r="A185">
        <f t="shared" si="2"/>
        <v>183</v>
      </c>
      <c r="B185" t="str">
        <f>DEC2HEX(Tabelle24[[#This Row],[Zeilennummer]]+1,2)</f>
        <v>B8</v>
      </c>
      <c r="C18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::gCommOutput.Array[183] AT %QW."8FLM01.0000.00I-1".EPL_FB_OUT_183_I2008_SB8Out;</v>
      </c>
    </row>
    <row r="186" spans="1:3" x14ac:dyDescent="0.25">
      <c r="A186">
        <f t="shared" si="2"/>
        <v>184</v>
      </c>
      <c r="B186" t="str">
        <f>DEC2HEX(Tabelle24[[#This Row],[Zeilennummer]]+1,2)</f>
        <v>B9</v>
      </c>
      <c r="C18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::gCommOutput.Array[184] AT %QW."8FLM01.0000.00I-1".EPL_FB_OUT_184_I2008_SB9Out;</v>
      </c>
    </row>
    <row r="187" spans="1:3" x14ac:dyDescent="0.25">
      <c r="A187">
        <f t="shared" si="2"/>
        <v>185</v>
      </c>
      <c r="B187" t="str">
        <f>DEC2HEX(Tabelle24[[#This Row],[Zeilennummer]]+1,2)</f>
        <v>BA</v>
      </c>
      <c r="C18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::gCommOutput.Array[185] AT %QW."8FLM01.0000.00I-1".EPL_FB_OUT_185_I2008_SBAOut;</v>
      </c>
    </row>
    <row r="188" spans="1:3" x14ac:dyDescent="0.25">
      <c r="A188">
        <f t="shared" si="2"/>
        <v>186</v>
      </c>
      <c r="B188" t="str">
        <f>DEC2HEX(Tabelle24[[#This Row],[Zeilennummer]]+1,2)</f>
        <v>BB</v>
      </c>
      <c r="C18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::gCommOutput.Array[186] AT %QW."8FLM01.0000.00I-1".EPL_FB_OUT_186_I2008_SBBOut;</v>
      </c>
    </row>
    <row r="189" spans="1:3" x14ac:dyDescent="0.25">
      <c r="A189">
        <f t="shared" si="2"/>
        <v>187</v>
      </c>
      <c r="B189" t="str">
        <f>DEC2HEX(Tabelle24[[#This Row],[Zeilennummer]]+1,2)</f>
        <v>BC</v>
      </c>
      <c r="C18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::gCommOutput.Array[187] AT %QW."8FLM01.0000.00I-1".EPL_FB_OUT_187_I2008_SBCOut;</v>
      </c>
    </row>
    <row r="190" spans="1:3" x14ac:dyDescent="0.25">
      <c r="A190">
        <f t="shared" si="2"/>
        <v>188</v>
      </c>
      <c r="B190" t="str">
        <f>DEC2HEX(Tabelle24[[#This Row],[Zeilennummer]]+1,2)</f>
        <v>BD</v>
      </c>
      <c r="C19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::gCommOutput.Array[188] AT %QW."8FLM01.0000.00I-1".EPL_FB_OUT_188_I2008_SBDOut;</v>
      </c>
    </row>
    <row r="191" spans="1:3" x14ac:dyDescent="0.25">
      <c r="A191">
        <f t="shared" si="2"/>
        <v>189</v>
      </c>
      <c r="B191" t="str">
        <f>DEC2HEX(Tabelle24[[#This Row],[Zeilennummer]]+1,2)</f>
        <v>BE</v>
      </c>
      <c r="C19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::gCommOutput.Array[189] AT %QW."8FLM01.0000.00I-1".EPL_FB_OUT_189_I2008_SBEOut;</v>
      </c>
    </row>
    <row r="192" spans="1:3" x14ac:dyDescent="0.25">
      <c r="A192">
        <f t="shared" si="2"/>
        <v>190</v>
      </c>
      <c r="B192" t="str">
        <f>DEC2HEX(Tabelle24[[#This Row],[Zeilennummer]]+1,2)</f>
        <v>BF</v>
      </c>
      <c r="C192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::gCommOutput.Array[190] AT %QW."8FLM01.0000.00I-1".EPL_FB_OUT_190_I2008_SBFOut;</v>
      </c>
    </row>
    <row r="193" spans="1:3" x14ac:dyDescent="0.25">
      <c r="A193">
        <f t="shared" si="2"/>
        <v>191</v>
      </c>
      <c r="B193" t="str">
        <f>DEC2HEX(Tabelle24[[#This Row],[Zeilennummer]]+1,2)</f>
        <v>C0</v>
      </c>
      <c r="C193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::gCommOutput.Array[191] AT %QW."8FLM01.0000.00I-1".EPL_FB_OUT_191_I2008_SC0Out;</v>
      </c>
    </row>
    <row r="194" spans="1:3" x14ac:dyDescent="0.25">
      <c r="A194">
        <f t="shared" ref="A194:A200" si="3">ROW()-2</f>
        <v>192</v>
      </c>
      <c r="B194" t="str">
        <f>DEC2HEX(Tabelle24[[#This Row],[Zeilennummer]]+1,2)</f>
        <v>C1</v>
      </c>
      <c r="C194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::gCommOutput.Array[192] AT %QW."8FLM01.0000.00I-1".EPL_FB_OUT_192_I2008_SC1Out;</v>
      </c>
    </row>
    <row r="195" spans="1:3" x14ac:dyDescent="0.25">
      <c r="A195">
        <f t="shared" si="3"/>
        <v>193</v>
      </c>
      <c r="B195" t="str">
        <f>DEC2HEX(Tabelle24[[#This Row],[Zeilennummer]]+1,2)</f>
        <v>C2</v>
      </c>
      <c r="C195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::gCommOutput.Array[193] AT %QW."8FLM01.0000.00I-1".EPL_FB_OUT_193_I2008_SC2Out;</v>
      </c>
    </row>
    <row r="196" spans="1:3" x14ac:dyDescent="0.25">
      <c r="A196">
        <f t="shared" si="3"/>
        <v>194</v>
      </c>
      <c r="B196" t="str">
        <f>DEC2HEX(Tabelle24[[#This Row],[Zeilennummer]]+1,2)</f>
        <v>C3</v>
      </c>
      <c r="C196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::gCommOutput.Array[194] AT %QW."8FLM01.0000.00I-1".EPL_FB_OUT_194_I2008_SC3Out;</v>
      </c>
    </row>
    <row r="197" spans="1:3" x14ac:dyDescent="0.25">
      <c r="A197">
        <f t="shared" si="3"/>
        <v>195</v>
      </c>
      <c r="B197" t="str">
        <f>DEC2HEX(Tabelle24[[#This Row],[Zeilennummer]]+1,2)</f>
        <v>C4</v>
      </c>
      <c r="C197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::gCommOutput.Array[195] AT %QW."8FLM01.0000.00I-1".EPL_FB_OUT_195_I2008_SC4Out;</v>
      </c>
    </row>
    <row r="198" spans="1:3" x14ac:dyDescent="0.25">
      <c r="A198">
        <f t="shared" si="3"/>
        <v>196</v>
      </c>
      <c r="B198" t="str">
        <f>DEC2HEX(Tabelle24[[#This Row],[Zeilennummer]]+1,2)</f>
        <v>C5</v>
      </c>
      <c r="C198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::gCommOutput.Array[196] AT %QW."8FLM01.0000.00I-1".EPL_FB_OUT_196_I2008_SC5Out;</v>
      </c>
    </row>
    <row r="199" spans="1:3" x14ac:dyDescent="0.25">
      <c r="A199">
        <f t="shared" si="3"/>
        <v>197</v>
      </c>
      <c r="B199" t="str">
        <f>DEC2HEX(Tabelle24[[#This Row],[Zeilennummer]]+1,2)</f>
        <v>C6</v>
      </c>
      <c r="C199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::gCommOutput.Array[197] AT %QW."8FLM01.0000.00I-1".EPL_FB_OUT_197_I2008_SC6Out;</v>
      </c>
    </row>
    <row r="200" spans="1:3" x14ac:dyDescent="0.25">
      <c r="A200">
        <f t="shared" si="3"/>
        <v>198</v>
      </c>
      <c r="B200" t="str">
        <f>DEC2HEX(Tabelle24[[#This Row],[Zeilennummer]]+1,2)</f>
        <v>C7</v>
      </c>
      <c r="C200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::gCommOutput.Array[198] AT %QW."8FLM01.0000.00I-1".EPL_FB_OUT_198_I2008_SC7Out;</v>
      </c>
    </row>
    <row r="201" spans="1:3" x14ac:dyDescent="0.25">
      <c r="A201">
        <f>ROW()-2</f>
        <v>199</v>
      </c>
      <c r="B201" t="str">
        <f>DEC2HEX(Tabelle24[[#This Row],[Zeilennummer]]+1,2)</f>
        <v>C8</v>
      </c>
      <c r="C201" t="str">
        <f>CONCATENATE(DoubleDot,OutputVarName,Bracket_open,Tabelle24[[#This Row],[Zeilennummer]],Bracket_close,AT,Sign_output,Dot,Module_name,Dot_2,Output_name,Tabelle24[[#This Row],[Zeilennummer]],Output_sign,Tabelle24[[#This Row],[Zeilennummer (HEX)]],Output_word,SemiColon)</f>
        <v>::gCommOutput.Array[199] AT %QW."8FLM01.0000.00I-1".EPL_FB_OUT_199_I2008_SC8Out;</v>
      </c>
    </row>
  </sheetData>
  <pageMargins left="0.7" right="0.7" top="0.78740157499999996" bottom="0.78740157499999996" header="0.3" footer="0.3"/>
  <headerFooter>
    <oddHeader>&amp;R&amp;"Calibri"&amp;11&amp;K000000 TUNI Luottamuksellinen - Confidential (3Y)&amp;1#_x000D_</oddHead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6D26-420F-440C-ADA3-AD116833DA1D}">
  <dimension ref="A1:A400"/>
  <sheetViews>
    <sheetView tabSelected="1" workbookViewId="0">
      <selection sqref="A1:A1048576"/>
    </sheetView>
  </sheetViews>
  <sheetFormatPr defaultColWidth="11.42578125" defaultRowHeight="15" x14ac:dyDescent="0.25"/>
  <cols>
    <col min="1" max="1" width="78.42578125" bestFit="1" customWidth="1"/>
  </cols>
  <sheetData>
    <row r="1" spans="1:1" x14ac:dyDescent="0.25">
      <c r="A1" t="str" cm="1">
        <f t="array" ref="A1:A200">Tabelle2[Inputstrings]</f>
        <v>::gCommInput.Array[0] AT %IW."8FLM01.0000.00I-1".EPL_FB_IN_0_I2007_S01;</v>
      </c>
    </row>
    <row r="2" spans="1:1" x14ac:dyDescent="0.25">
      <c r="A2" t="str">
        <v>::gCommInput.Array[1] AT %IW."8FLM01.0000.00I-1".EPL_FB_IN_1_I2007_S02;</v>
      </c>
    </row>
    <row r="3" spans="1:1" x14ac:dyDescent="0.25">
      <c r="A3" t="str">
        <v>::gCommInput.Array[2] AT %IW."8FLM01.0000.00I-1".EPL_FB_IN_2_I2007_S03;</v>
      </c>
    </row>
    <row r="4" spans="1:1" x14ac:dyDescent="0.25">
      <c r="A4" t="str">
        <v>::gCommInput.Array[3] AT %IW."8FLM01.0000.00I-1".EPL_FB_IN_3_I2007_S04;</v>
      </c>
    </row>
    <row r="5" spans="1:1" x14ac:dyDescent="0.25">
      <c r="A5" t="str">
        <v>::gCommInput.Array[4] AT %IW."8FLM01.0000.00I-1".EPL_FB_IN_4_I2007_S05;</v>
      </c>
    </row>
    <row r="6" spans="1:1" x14ac:dyDescent="0.25">
      <c r="A6" t="str">
        <v>::gCommInput.Array[5] AT %IW."8FLM01.0000.00I-1".EPL_FB_IN_5_I2007_S06;</v>
      </c>
    </row>
    <row r="7" spans="1:1" x14ac:dyDescent="0.25">
      <c r="A7" t="str">
        <v>::gCommInput.Array[6] AT %IW."8FLM01.0000.00I-1".EPL_FB_IN_6_I2007_S07;</v>
      </c>
    </row>
    <row r="8" spans="1:1" x14ac:dyDescent="0.25">
      <c r="A8" t="str">
        <v>::gCommInput.Array[7] AT %IW."8FLM01.0000.00I-1".EPL_FB_IN_7_I2007_S08;</v>
      </c>
    </row>
    <row r="9" spans="1:1" x14ac:dyDescent="0.25">
      <c r="A9" t="str">
        <v>::gCommInput.Array[8] AT %IW."8FLM01.0000.00I-1".EPL_FB_IN_8_I2007_S09;</v>
      </c>
    </row>
    <row r="10" spans="1:1" x14ac:dyDescent="0.25">
      <c r="A10" t="str">
        <v>::gCommInput.Array[9] AT %IW."8FLM01.0000.00I-1".EPL_FB_IN_9_I2007_S0A;</v>
      </c>
    </row>
    <row r="11" spans="1:1" x14ac:dyDescent="0.25">
      <c r="A11" t="str">
        <v>::gCommInput.Array[10] AT %IW."8FLM01.0000.00I-1".EPL_FB_IN_10_I2007_S0B;</v>
      </c>
    </row>
    <row r="12" spans="1:1" x14ac:dyDescent="0.25">
      <c r="A12" t="str">
        <v>::gCommInput.Array[11] AT %IW."8FLM01.0000.00I-1".EPL_FB_IN_11_I2007_S0C;</v>
      </c>
    </row>
    <row r="13" spans="1:1" x14ac:dyDescent="0.25">
      <c r="A13" t="str">
        <v>::gCommInput.Array[12] AT %IW."8FLM01.0000.00I-1".EPL_FB_IN_12_I2007_S0D;</v>
      </c>
    </row>
    <row r="14" spans="1:1" x14ac:dyDescent="0.25">
      <c r="A14" t="str">
        <v>::gCommInput.Array[13] AT %IW."8FLM01.0000.00I-1".EPL_FB_IN_13_I2007_S0E;</v>
      </c>
    </row>
    <row r="15" spans="1:1" x14ac:dyDescent="0.25">
      <c r="A15" t="str">
        <v>::gCommInput.Array[14] AT %IW."8FLM01.0000.00I-1".EPL_FB_IN_14_I2007_S0F;</v>
      </c>
    </row>
    <row r="16" spans="1:1" x14ac:dyDescent="0.25">
      <c r="A16" t="str">
        <v>::gCommInput.Array[15] AT %IW."8FLM01.0000.00I-1".EPL_FB_IN_15_I2007_S10;</v>
      </c>
    </row>
    <row r="17" spans="1:1" x14ac:dyDescent="0.25">
      <c r="A17" t="str">
        <v>::gCommInput.Array[16] AT %IW."8FLM01.0000.00I-1".EPL_FB_IN_16_I2007_S11;</v>
      </c>
    </row>
    <row r="18" spans="1:1" x14ac:dyDescent="0.25">
      <c r="A18" t="str">
        <v>::gCommInput.Array[17] AT %IW."8FLM01.0000.00I-1".EPL_FB_IN_17_I2007_S12;</v>
      </c>
    </row>
    <row r="19" spans="1:1" x14ac:dyDescent="0.25">
      <c r="A19" t="str">
        <v>::gCommInput.Array[18] AT %IW."8FLM01.0000.00I-1".EPL_FB_IN_18_I2007_S13;</v>
      </c>
    </row>
    <row r="20" spans="1:1" x14ac:dyDescent="0.25">
      <c r="A20" t="str">
        <v>::gCommInput.Array[19] AT %IW."8FLM01.0000.00I-1".EPL_FB_IN_19_I2007_S14;</v>
      </c>
    </row>
    <row r="21" spans="1:1" x14ac:dyDescent="0.25">
      <c r="A21" t="str">
        <v>::gCommInput.Array[20] AT %IW."8FLM01.0000.00I-1".EPL_FB_IN_20_I2007_S15;</v>
      </c>
    </row>
    <row r="22" spans="1:1" x14ac:dyDescent="0.25">
      <c r="A22" t="str">
        <v>::gCommInput.Array[21] AT %IW."8FLM01.0000.00I-1".EPL_FB_IN_21_I2007_S16;</v>
      </c>
    </row>
    <row r="23" spans="1:1" x14ac:dyDescent="0.25">
      <c r="A23" t="str">
        <v>::gCommInput.Array[22] AT %IW."8FLM01.0000.00I-1".EPL_FB_IN_22_I2007_S17;</v>
      </c>
    </row>
    <row r="24" spans="1:1" x14ac:dyDescent="0.25">
      <c r="A24" t="str">
        <v>::gCommInput.Array[23] AT %IW."8FLM01.0000.00I-1".EPL_FB_IN_23_I2007_S18;</v>
      </c>
    </row>
    <row r="25" spans="1:1" x14ac:dyDescent="0.25">
      <c r="A25" t="str">
        <v>::gCommInput.Array[24] AT %IW."8FLM01.0000.00I-1".EPL_FB_IN_24_I2007_S19;</v>
      </c>
    </row>
    <row r="26" spans="1:1" x14ac:dyDescent="0.25">
      <c r="A26" t="str">
        <v>::gCommInput.Array[25] AT %IW."8FLM01.0000.00I-1".EPL_FB_IN_25_I2007_S1A;</v>
      </c>
    </row>
    <row r="27" spans="1:1" x14ac:dyDescent="0.25">
      <c r="A27" t="str">
        <v>::gCommInput.Array[26] AT %IW."8FLM01.0000.00I-1".EPL_FB_IN_26_I2007_S1B;</v>
      </c>
    </row>
    <row r="28" spans="1:1" x14ac:dyDescent="0.25">
      <c r="A28" t="str">
        <v>::gCommInput.Array[27] AT %IW."8FLM01.0000.00I-1".EPL_FB_IN_27_I2007_S1C;</v>
      </c>
    </row>
    <row r="29" spans="1:1" x14ac:dyDescent="0.25">
      <c r="A29" t="str">
        <v>::gCommInput.Array[28] AT %IW."8FLM01.0000.00I-1".EPL_FB_IN_28_I2007_S1D;</v>
      </c>
    </row>
    <row r="30" spans="1:1" x14ac:dyDescent="0.25">
      <c r="A30" t="str">
        <v>::gCommInput.Array[29] AT %IW."8FLM01.0000.00I-1".EPL_FB_IN_29_I2007_S1E;</v>
      </c>
    </row>
    <row r="31" spans="1:1" x14ac:dyDescent="0.25">
      <c r="A31" t="str">
        <v>::gCommInput.Array[30] AT %IW."8FLM01.0000.00I-1".EPL_FB_IN_30_I2007_S1F;</v>
      </c>
    </row>
    <row r="32" spans="1:1" x14ac:dyDescent="0.25">
      <c r="A32" t="str">
        <v>::gCommInput.Array[31] AT %IW."8FLM01.0000.00I-1".EPL_FB_IN_31_I2007_S20;</v>
      </c>
    </row>
    <row r="33" spans="1:1" x14ac:dyDescent="0.25">
      <c r="A33" t="str">
        <v>::gCommInput.Array[32] AT %IW."8FLM01.0000.00I-1".EPL_FB_IN_32_I2007_S21;</v>
      </c>
    </row>
    <row r="34" spans="1:1" x14ac:dyDescent="0.25">
      <c r="A34" t="str">
        <v>::gCommInput.Array[33] AT %IW."8FLM01.0000.00I-1".EPL_FB_IN_33_I2007_S22;</v>
      </c>
    </row>
    <row r="35" spans="1:1" x14ac:dyDescent="0.25">
      <c r="A35" t="str">
        <v>::gCommInput.Array[34] AT %IW."8FLM01.0000.00I-1".EPL_FB_IN_34_I2007_S23;</v>
      </c>
    </row>
    <row r="36" spans="1:1" x14ac:dyDescent="0.25">
      <c r="A36" t="str">
        <v>::gCommInput.Array[35] AT %IW."8FLM01.0000.00I-1".EPL_FB_IN_35_I2007_S24;</v>
      </c>
    </row>
    <row r="37" spans="1:1" x14ac:dyDescent="0.25">
      <c r="A37" t="str">
        <v>::gCommInput.Array[36] AT %IW."8FLM01.0000.00I-1".EPL_FB_IN_36_I2007_S25;</v>
      </c>
    </row>
    <row r="38" spans="1:1" x14ac:dyDescent="0.25">
      <c r="A38" t="str">
        <v>::gCommInput.Array[37] AT %IW."8FLM01.0000.00I-1".EPL_FB_IN_37_I2007_S26;</v>
      </c>
    </row>
    <row r="39" spans="1:1" x14ac:dyDescent="0.25">
      <c r="A39" t="str">
        <v>::gCommInput.Array[38] AT %IW."8FLM01.0000.00I-1".EPL_FB_IN_38_I2007_S27;</v>
      </c>
    </row>
    <row r="40" spans="1:1" x14ac:dyDescent="0.25">
      <c r="A40" t="str">
        <v>::gCommInput.Array[39] AT %IW."8FLM01.0000.00I-1".EPL_FB_IN_39_I2007_S28;</v>
      </c>
    </row>
    <row r="41" spans="1:1" x14ac:dyDescent="0.25">
      <c r="A41" t="str">
        <v>::gCommInput.Array[40] AT %IW."8FLM01.0000.00I-1".EPL_FB_IN_40_I2007_S29;</v>
      </c>
    </row>
    <row r="42" spans="1:1" x14ac:dyDescent="0.25">
      <c r="A42" t="str">
        <v>::gCommInput.Array[41] AT %IW."8FLM01.0000.00I-1".EPL_FB_IN_41_I2007_S2A;</v>
      </c>
    </row>
    <row r="43" spans="1:1" x14ac:dyDescent="0.25">
      <c r="A43" t="str">
        <v>::gCommInput.Array[42] AT %IW."8FLM01.0000.00I-1".EPL_FB_IN_42_I2007_S2B;</v>
      </c>
    </row>
    <row r="44" spans="1:1" x14ac:dyDescent="0.25">
      <c r="A44" t="str">
        <v>::gCommInput.Array[43] AT %IW."8FLM01.0000.00I-1".EPL_FB_IN_43_I2007_S2C;</v>
      </c>
    </row>
    <row r="45" spans="1:1" x14ac:dyDescent="0.25">
      <c r="A45" t="str">
        <v>::gCommInput.Array[44] AT %IW."8FLM01.0000.00I-1".EPL_FB_IN_44_I2007_S2D;</v>
      </c>
    </row>
    <row r="46" spans="1:1" x14ac:dyDescent="0.25">
      <c r="A46" t="str">
        <v>::gCommInput.Array[45] AT %IW."8FLM01.0000.00I-1".EPL_FB_IN_45_I2007_S2E;</v>
      </c>
    </row>
    <row r="47" spans="1:1" x14ac:dyDescent="0.25">
      <c r="A47" t="str">
        <v>::gCommInput.Array[46] AT %IW."8FLM01.0000.00I-1".EPL_FB_IN_46_I2007_S2F;</v>
      </c>
    </row>
    <row r="48" spans="1:1" x14ac:dyDescent="0.25">
      <c r="A48" t="str">
        <v>::gCommInput.Array[47] AT %IW."8FLM01.0000.00I-1".EPL_FB_IN_47_I2007_S30;</v>
      </c>
    </row>
    <row r="49" spans="1:1" x14ac:dyDescent="0.25">
      <c r="A49" t="str">
        <v>::gCommInput.Array[48] AT %IW."8FLM01.0000.00I-1".EPL_FB_IN_48_I2007_S31;</v>
      </c>
    </row>
    <row r="50" spans="1:1" x14ac:dyDescent="0.25">
      <c r="A50" t="str">
        <v>::gCommInput.Array[49] AT %IW."8FLM01.0000.00I-1".EPL_FB_IN_49_I2007_S32;</v>
      </c>
    </row>
    <row r="51" spans="1:1" x14ac:dyDescent="0.25">
      <c r="A51" t="str">
        <v>::gCommInput.Array[50] AT %IW."8FLM01.0000.00I-1".EPL_FB_IN_50_I2007_S33;</v>
      </c>
    </row>
    <row r="52" spans="1:1" x14ac:dyDescent="0.25">
      <c r="A52" t="str">
        <v>::gCommInput.Array[51] AT %IW."8FLM01.0000.00I-1".EPL_FB_IN_51_I2007_S34;</v>
      </c>
    </row>
    <row r="53" spans="1:1" x14ac:dyDescent="0.25">
      <c r="A53" t="str">
        <v>::gCommInput.Array[52] AT %IW."8FLM01.0000.00I-1".EPL_FB_IN_52_I2007_S35;</v>
      </c>
    </row>
    <row r="54" spans="1:1" x14ac:dyDescent="0.25">
      <c r="A54" t="str">
        <v>::gCommInput.Array[53] AT %IW."8FLM01.0000.00I-1".EPL_FB_IN_53_I2007_S36;</v>
      </c>
    </row>
    <row r="55" spans="1:1" x14ac:dyDescent="0.25">
      <c r="A55" t="str">
        <v>::gCommInput.Array[54] AT %IW."8FLM01.0000.00I-1".EPL_FB_IN_54_I2007_S37;</v>
      </c>
    </row>
    <row r="56" spans="1:1" x14ac:dyDescent="0.25">
      <c r="A56" t="str">
        <v>::gCommInput.Array[55] AT %IW."8FLM01.0000.00I-1".EPL_FB_IN_55_I2007_S38;</v>
      </c>
    </row>
    <row r="57" spans="1:1" x14ac:dyDescent="0.25">
      <c r="A57" t="str">
        <v>::gCommInput.Array[56] AT %IW."8FLM01.0000.00I-1".EPL_FB_IN_56_I2007_S39;</v>
      </c>
    </row>
    <row r="58" spans="1:1" x14ac:dyDescent="0.25">
      <c r="A58" t="str">
        <v>::gCommInput.Array[57] AT %IW."8FLM01.0000.00I-1".EPL_FB_IN_57_I2007_S3A;</v>
      </c>
    </row>
    <row r="59" spans="1:1" x14ac:dyDescent="0.25">
      <c r="A59" t="str">
        <v>::gCommInput.Array[58] AT %IW."8FLM01.0000.00I-1".EPL_FB_IN_58_I2007_S3B;</v>
      </c>
    </row>
    <row r="60" spans="1:1" x14ac:dyDescent="0.25">
      <c r="A60" t="str">
        <v>::gCommInput.Array[59] AT %IW."8FLM01.0000.00I-1".EPL_FB_IN_59_I2007_S3C;</v>
      </c>
    </row>
    <row r="61" spans="1:1" x14ac:dyDescent="0.25">
      <c r="A61" t="str">
        <v>::gCommInput.Array[60] AT %IW."8FLM01.0000.00I-1".EPL_FB_IN_60_I2007_S3D;</v>
      </c>
    </row>
    <row r="62" spans="1:1" x14ac:dyDescent="0.25">
      <c r="A62" t="str">
        <v>::gCommInput.Array[61] AT %IW."8FLM01.0000.00I-1".EPL_FB_IN_61_I2007_S3E;</v>
      </c>
    </row>
    <row r="63" spans="1:1" x14ac:dyDescent="0.25">
      <c r="A63" t="str">
        <v>::gCommInput.Array[62] AT %IW."8FLM01.0000.00I-1".EPL_FB_IN_62_I2007_S3F;</v>
      </c>
    </row>
    <row r="64" spans="1:1" x14ac:dyDescent="0.25">
      <c r="A64" t="str">
        <v>::gCommInput.Array[63] AT %IW."8FLM01.0000.00I-1".EPL_FB_IN_63_I2007_S40;</v>
      </c>
    </row>
    <row r="65" spans="1:1" x14ac:dyDescent="0.25">
      <c r="A65" t="str">
        <v>::gCommInput.Array[64] AT %IW."8FLM01.0000.00I-1".EPL_FB_IN_64_I2007_S41;</v>
      </c>
    </row>
    <row r="66" spans="1:1" x14ac:dyDescent="0.25">
      <c r="A66" t="str">
        <v>::gCommInput.Array[65] AT %IW."8FLM01.0000.00I-1".EPL_FB_IN_65_I2007_S42;</v>
      </c>
    </row>
    <row r="67" spans="1:1" x14ac:dyDescent="0.25">
      <c r="A67" t="str">
        <v>::gCommInput.Array[66] AT %IW."8FLM01.0000.00I-1".EPL_FB_IN_66_I2007_S43;</v>
      </c>
    </row>
    <row r="68" spans="1:1" x14ac:dyDescent="0.25">
      <c r="A68" t="str">
        <v>::gCommInput.Array[67] AT %IW."8FLM01.0000.00I-1".EPL_FB_IN_67_I2007_S44;</v>
      </c>
    </row>
    <row r="69" spans="1:1" x14ac:dyDescent="0.25">
      <c r="A69" t="str">
        <v>::gCommInput.Array[68] AT %IW."8FLM01.0000.00I-1".EPL_FB_IN_68_I2007_S45;</v>
      </c>
    </row>
    <row r="70" spans="1:1" x14ac:dyDescent="0.25">
      <c r="A70" t="str">
        <v>::gCommInput.Array[69] AT %IW."8FLM01.0000.00I-1".EPL_FB_IN_69_I2007_S46;</v>
      </c>
    </row>
    <row r="71" spans="1:1" x14ac:dyDescent="0.25">
      <c r="A71" t="str">
        <v>::gCommInput.Array[70] AT %IW."8FLM01.0000.00I-1".EPL_FB_IN_70_I2007_S47;</v>
      </c>
    </row>
    <row r="72" spans="1:1" x14ac:dyDescent="0.25">
      <c r="A72" t="str">
        <v>::gCommInput.Array[71] AT %IW."8FLM01.0000.00I-1".EPL_FB_IN_71_I2007_S48;</v>
      </c>
    </row>
    <row r="73" spans="1:1" x14ac:dyDescent="0.25">
      <c r="A73" t="str">
        <v>::gCommInput.Array[72] AT %IW."8FLM01.0000.00I-1".EPL_FB_IN_72_I2007_S49;</v>
      </c>
    </row>
    <row r="74" spans="1:1" x14ac:dyDescent="0.25">
      <c r="A74" t="str">
        <v>::gCommInput.Array[73] AT %IW."8FLM01.0000.00I-1".EPL_FB_IN_73_I2007_S4A;</v>
      </c>
    </row>
    <row r="75" spans="1:1" x14ac:dyDescent="0.25">
      <c r="A75" t="str">
        <v>::gCommInput.Array[74] AT %IW."8FLM01.0000.00I-1".EPL_FB_IN_74_I2007_S4B;</v>
      </c>
    </row>
    <row r="76" spans="1:1" x14ac:dyDescent="0.25">
      <c r="A76" t="str">
        <v>::gCommInput.Array[75] AT %IW."8FLM01.0000.00I-1".EPL_FB_IN_75_I2007_S4C;</v>
      </c>
    </row>
    <row r="77" spans="1:1" x14ac:dyDescent="0.25">
      <c r="A77" t="str">
        <v>::gCommInput.Array[76] AT %IW."8FLM01.0000.00I-1".EPL_FB_IN_76_I2007_S4D;</v>
      </c>
    </row>
    <row r="78" spans="1:1" x14ac:dyDescent="0.25">
      <c r="A78" t="str">
        <v>::gCommInput.Array[77] AT %IW."8FLM01.0000.00I-1".EPL_FB_IN_77_I2007_S4E;</v>
      </c>
    </row>
    <row r="79" spans="1:1" x14ac:dyDescent="0.25">
      <c r="A79" t="str">
        <v>::gCommInput.Array[78] AT %IW."8FLM01.0000.00I-1".EPL_FB_IN_78_I2007_S4F;</v>
      </c>
    </row>
    <row r="80" spans="1:1" x14ac:dyDescent="0.25">
      <c r="A80" t="str">
        <v>::gCommInput.Array[79] AT %IW."8FLM01.0000.00I-1".EPL_FB_IN_79_I2007_S50;</v>
      </c>
    </row>
    <row r="81" spans="1:1" x14ac:dyDescent="0.25">
      <c r="A81" t="str">
        <v>::gCommInput.Array[80] AT %IW."8FLM01.0000.00I-1".EPL_FB_IN_80_I2007_S51;</v>
      </c>
    </row>
    <row r="82" spans="1:1" x14ac:dyDescent="0.25">
      <c r="A82" t="str">
        <v>::gCommInput.Array[81] AT %IW."8FLM01.0000.00I-1".EPL_FB_IN_81_I2007_S52;</v>
      </c>
    </row>
    <row r="83" spans="1:1" x14ac:dyDescent="0.25">
      <c r="A83" t="str">
        <v>::gCommInput.Array[82] AT %IW."8FLM01.0000.00I-1".EPL_FB_IN_82_I2007_S53;</v>
      </c>
    </row>
    <row r="84" spans="1:1" x14ac:dyDescent="0.25">
      <c r="A84" t="str">
        <v>::gCommInput.Array[83] AT %IW."8FLM01.0000.00I-1".EPL_FB_IN_83_I2007_S54;</v>
      </c>
    </row>
    <row r="85" spans="1:1" x14ac:dyDescent="0.25">
      <c r="A85" t="str">
        <v>::gCommInput.Array[84] AT %IW."8FLM01.0000.00I-1".EPL_FB_IN_84_I2007_S55;</v>
      </c>
    </row>
    <row r="86" spans="1:1" x14ac:dyDescent="0.25">
      <c r="A86" t="str">
        <v>::gCommInput.Array[85] AT %IW."8FLM01.0000.00I-1".EPL_FB_IN_85_I2007_S56;</v>
      </c>
    </row>
    <row r="87" spans="1:1" x14ac:dyDescent="0.25">
      <c r="A87" t="str">
        <v>::gCommInput.Array[86] AT %IW."8FLM01.0000.00I-1".EPL_FB_IN_86_I2007_S57;</v>
      </c>
    </row>
    <row r="88" spans="1:1" x14ac:dyDescent="0.25">
      <c r="A88" t="str">
        <v>::gCommInput.Array[87] AT %IW."8FLM01.0000.00I-1".EPL_FB_IN_87_I2007_S58;</v>
      </c>
    </row>
    <row r="89" spans="1:1" x14ac:dyDescent="0.25">
      <c r="A89" t="str">
        <v>::gCommInput.Array[88] AT %IW."8FLM01.0000.00I-1".EPL_FB_IN_88_I2007_S59;</v>
      </c>
    </row>
    <row r="90" spans="1:1" x14ac:dyDescent="0.25">
      <c r="A90" t="str">
        <v>::gCommInput.Array[89] AT %IW."8FLM01.0000.00I-1".EPL_FB_IN_89_I2007_S5A;</v>
      </c>
    </row>
    <row r="91" spans="1:1" x14ac:dyDescent="0.25">
      <c r="A91" t="str">
        <v>::gCommInput.Array[90] AT %IW."8FLM01.0000.00I-1".EPL_FB_IN_90_I2007_S5B;</v>
      </c>
    </row>
    <row r="92" spans="1:1" x14ac:dyDescent="0.25">
      <c r="A92" t="str">
        <v>::gCommInput.Array[91] AT %IW."8FLM01.0000.00I-1".EPL_FB_IN_91_I2007_S5C;</v>
      </c>
    </row>
    <row r="93" spans="1:1" x14ac:dyDescent="0.25">
      <c r="A93" t="str">
        <v>::gCommInput.Array[92] AT %IW."8FLM01.0000.00I-1".EPL_FB_IN_92_I2007_S5D;</v>
      </c>
    </row>
    <row r="94" spans="1:1" x14ac:dyDescent="0.25">
      <c r="A94" t="str">
        <v>::gCommInput.Array[93] AT %IW."8FLM01.0000.00I-1".EPL_FB_IN_93_I2007_S5E;</v>
      </c>
    </row>
    <row r="95" spans="1:1" x14ac:dyDescent="0.25">
      <c r="A95" t="str">
        <v>::gCommInput.Array[94] AT %IW."8FLM01.0000.00I-1".EPL_FB_IN_94_I2007_S5F;</v>
      </c>
    </row>
    <row r="96" spans="1:1" x14ac:dyDescent="0.25">
      <c r="A96" t="str">
        <v>::gCommInput.Array[95] AT %IW."8FLM01.0000.00I-1".EPL_FB_IN_95_I2007_S60;</v>
      </c>
    </row>
    <row r="97" spans="1:1" x14ac:dyDescent="0.25">
      <c r="A97" t="str">
        <v>::gCommInput.Array[96] AT %IW."8FLM01.0000.00I-1".EPL_FB_IN_96_I2007_S61;</v>
      </c>
    </row>
    <row r="98" spans="1:1" x14ac:dyDescent="0.25">
      <c r="A98" t="str">
        <v>::gCommInput.Array[97] AT %IW."8FLM01.0000.00I-1".EPL_FB_IN_97_I2007_S62;</v>
      </c>
    </row>
    <row r="99" spans="1:1" x14ac:dyDescent="0.25">
      <c r="A99" t="str">
        <v>::gCommInput.Array[98] AT %IW."8FLM01.0000.00I-1".EPL_FB_IN_98_I2007_S63;</v>
      </c>
    </row>
    <row r="100" spans="1:1" x14ac:dyDescent="0.25">
      <c r="A100" t="str">
        <v>::gCommInput.Array[99] AT %IW."8FLM01.0000.00I-1".EPL_FB_IN_99_I2007_S64;</v>
      </c>
    </row>
    <row r="101" spans="1:1" x14ac:dyDescent="0.25">
      <c r="A101" t="str">
        <v>::gCommInput.Array[100] AT %IW."8FLM01.0000.00I-1".EPL_FB_IN_100_I2007_S65;</v>
      </c>
    </row>
    <row r="102" spans="1:1" x14ac:dyDescent="0.25">
      <c r="A102" t="str">
        <v>::gCommInput.Array[101] AT %IW."8FLM01.0000.00I-1".EPL_FB_IN_101_I2007_S66;</v>
      </c>
    </row>
    <row r="103" spans="1:1" x14ac:dyDescent="0.25">
      <c r="A103" t="str">
        <v>::gCommInput.Array[102] AT %IW."8FLM01.0000.00I-1".EPL_FB_IN_102_I2007_S67;</v>
      </c>
    </row>
    <row r="104" spans="1:1" x14ac:dyDescent="0.25">
      <c r="A104" t="str">
        <v>::gCommInput.Array[103] AT %IW."8FLM01.0000.00I-1".EPL_FB_IN_103_I2007_S68;</v>
      </c>
    </row>
    <row r="105" spans="1:1" x14ac:dyDescent="0.25">
      <c r="A105" t="str">
        <v>::gCommInput.Array[104] AT %IW."8FLM01.0000.00I-1".EPL_FB_IN_104_I2007_S69;</v>
      </c>
    </row>
    <row r="106" spans="1:1" x14ac:dyDescent="0.25">
      <c r="A106" t="str">
        <v>::gCommInput.Array[105] AT %IW."8FLM01.0000.00I-1".EPL_FB_IN_105_I2007_S6A;</v>
      </c>
    </row>
    <row r="107" spans="1:1" x14ac:dyDescent="0.25">
      <c r="A107" t="str">
        <v>::gCommInput.Array[106] AT %IW."8FLM01.0000.00I-1".EPL_FB_IN_106_I2007_S6B;</v>
      </c>
    </row>
    <row r="108" spans="1:1" x14ac:dyDescent="0.25">
      <c r="A108" t="str">
        <v>::gCommInput.Array[107] AT %IW."8FLM01.0000.00I-1".EPL_FB_IN_107_I2007_S6C;</v>
      </c>
    </row>
    <row r="109" spans="1:1" x14ac:dyDescent="0.25">
      <c r="A109" t="str">
        <v>::gCommInput.Array[108] AT %IW."8FLM01.0000.00I-1".EPL_FB_IN_108_I2007_S6D;</v>
      </c>
    </row>
    <row r="110" spans="1:1" x14ac:dyDescent="0.25">
      <c r="A110" t="str">
        <v>::gCommInput.Array[109] AT %IW."8FLM01.0000.00I-1".EPL_FB_IN_109_I2007_S6E;</v>
      </c>
    </row>
    <row r="111" spans="1:1" x14ac:dyDescent="0.25">
      <c r="A111" t="str">
        <v>::gCommInput.Array[110] AT %IW."8FLM01.0000.00I-1".EPL_FB_IN_110_I2007_S6F;</v>
      </c>
    </row>
    <row r="112" spans="1:1" x14ac:dyDescent="0.25">
      <c r="A112" t="str">
        <v>::gCommInput.Array[111] AT %IW."8FLM01.0000.00I-1".EPL_FB_IN_111_I2007_S70;</v>
      </c>
    </row>
    <row r="113" spans="1:1" x14ac:dyDescent="0.25">
      <c r="A113" t="str">
        <v>::gCommInput.Array[112] AT %IW."8FLM01.0000.00I-1".EPL_FB_IN_112_I2007_S71;</v>
      </c>
    </row>
    <row r="114" spans="1:1" x14ac:dyDescent="0.25">
      <c r="A114" t="str">
        <v>::gCommInput.Array[113] AT %IW."8FLM01.0000.00I-1".EPL_FB_IN_113_I2007_S72;</v>
      </c>
    </row>
    <row r="115" spans="1:1" x14ac:dyDescent="0.25">
      <c r="A115" t="str">
        <v>::gCommInput.Array[114] AT %IW."8FLM01.0000.00I-1".EPL_FB_IN_114_I2007_S73;</v>
      </c>
    </row>
    <row r="116" spans="1:1" x14ac:dyDescent="0.25">
      <c r="A116" t="str">
        <v>::gCommInput.Array[115] AT %IW."8FLM01.0000.00I-1".EPL_FB_IN_115_I2007_S74;</v>
      </c>
    </row>
    <row r="117" spans="1:1" x14ac:dyDescent="0.25">
      <c r="A117" t="str">
        <v>::gCommInput.Array[116] AT %IW."8FLM01.0000.00I-1".EPL_FB_IN_116_I2007_S75;</v>
      </c>
    </row>
    <row r="118" spans="1:1" x14ac:dyDescent="0.25">
      <c r="A118" t="str">
        <v>::gCommInput.Array[117] AT %IW."8FLM01.0000.00I-1".EPL_FB_IN_117_I2007_S76;</v>
      </c>
    </row>
    <row r="119" spans="1:1" x14ac:dyDescent="0.25">
      <c r="A119" t="str">
        <v>::gCommInput.Array[118] AT %IW."8FLM01.0000.00I-1".EPL_FB_IN_118_I2007_S77;</v>
      </c>
    </row>
    <row r="120" spans="1:1" x14ac:dyDescent="0.25">
      <c r="A120" t="str">
        <v>::gCommInput.Array[119] AT %IW."8FLM01.0000.00I-1".EPL_FB_IN_119_I2007_S78;</v>
      </c>
    </row>
    <row r="121" spans="1:1" x14ac:dyDescent="0.25">
      <c r="A121" t="str">
        <v>::gCommInput.Array[120] AT %IW."8FLM01.0000.00I-1".EPL_FB_IN_120_I2007_S79;</v>
      </c>
    </row>
    <row r="122" spans="1:1" x14ac:dyDescent="0.25">
      <c r="A122" t="str">
        <v>::gCommInput.Array[121] AT %IW."8FLM01.0000.00I-1".EPL_FB_IN_121_I2007_S7A;</v>
      </c>
    </row>
    <row r="123" spans="1:1" x14ac:dyDescent="0.25">
      <c r="A123" t="str">
        <v>::gCommInput.Array[122] AT %IW."8FLM01.0000.00I-1".EPL_FB_IN_122_I2007_S7B;</v>
      </c>
    </row>
    <row r="124" spans="1:1" x14ac:dyDescent="0.25">
      <c r="A124" t="str">
        <v>::gCommInput.Array[123] AT %IW."8FLM01.0000.00I-1".EPL_FB_IN_123_I2007_S7C;</v>
      </c>
    </row>
    <row r="125" spans="1:1" x14ac:dyDescent="0.25">
      <c r="A125" t="str">
        <v>::gCommInput.Array[124] AT %IW."8FLM01.0000.00I-1".EPL_FB_IN_124_I2007_S7D;</v>
      </c>
    </row>
    <row r="126" spans="1:1" x14ac:dyDescent="0.25">
      <c r="A126" t="str">
        <v>::gCommInput.Array[125] AT %IW."8FLM01.0000.00I-1".EPL_FB_IN_125_I2007_S7E;</v>
      </c>
    </row>
    <row r="127" spans="1:1" x14ac:dyDescent="0.25">
      <c r="A127" t="str">
        <v>::gCommInput.Array[126] AT %IW."8FLM01.0000.00I-1".EPL_FB_IN_126_I2007_S7F;</v>
      </c>
    </row>
    <row r="128" spans="1:1" x14ac:dyDescent="0.25">
      <c r="A128" t="str">
        <v>::gCommInput.Array[127] AT %IW."8FLM01.0000.00I-1".EPL_FB_IN_127_I2007_S80;</v>
      </c>
    </row>
    <row r="129" spans="1:1" x14ac:dyDescent="0.25">
      <c r="A129" t="str">
        <v>::gCommInput.Array[128] AT %IW."8FLM01.0000.00I-1".EPL_FB_IN_128_I2007_S81;</v>
      </c>
    </row>
    <row r="130" spans="1:1" x14ac:dyDescent="0.25">
      <c r="A130" t="str">
        <v>::gCommInput.Array[129] AT %IW."8FLM01.0000.00I-1".EPL_FB_IN_129_I2007_S82;</v>
      </c>
    </row>
    <row r="131" spans="1:1" x14ac:dyDescent="0.25">
      <c r="A131" t="str">
        <v>::gCommInput.Array[130] AT %IW."8FLM01.0000.00I-1".EPL_FB_IN_130_I2007_S83;</v>
      </c>
    </row>
    <row r="132" spans="1:1" x14ac:dyDescent="0.25">
      <c r="A132" t="str">
        <v>::gCommInput.Array[131] AT %IW."8FLM01.0000.00I-1".EPL_FB_IN_131_I2007_S84;</v>
      </c>
    </row>
    <row r="133" spans="1:1" x14ac:dyDescent="0.25">
      <c r="A133" t="str">
        <v>::gCommInput.Array[132] AT %IW."8FLM01.0000.00I-1".EPL_FB_IN_132_I2007_S85;</v>
      </c>
    </row>
    <row r="134" spans="1:1" x14ac:dyDescent="0.25">
      <c r="A134" t="str">
        <v>::gCommInput.Array[133] AT %IW."8FLM01.0000.00I-1".EPL_FB_IN_133_I2007_S86;</v>
      </c>
    </row>
    <row r="135" spans="1:1" x14ac:dyDescent="0.25">
      <c r="A135" t="str">
        <v>::gCommInput.Array[134] AT %IW."8FLM01.0000.00I-1".EPL_FB_IN_134_I2007_S87;</v>
      </c>
    </row>
    <row r="136" spans="1:1" x14ac:dyDescent="0.25">
      <c r="A136" t="str">
        <v>::gCommInput.Array[135] AT %IW."8FLM01.0000.00I-1".EPL_FB_IN_135_I2007_S88;</v>
      </c>
    </row>
    <row r="137" spans="1:1" x14ac:dyDescent="0.25">
      <c r="A137" t="str">
        <v>::gCommInput.Array[136] AT %IW."8FLM01.0000.00I-1".EPL_FB_IN_136_I2007_S89;</v>
      </c>
    </row>
    <row r="138" spans="1:1" x14ac:dyDescent="0.25">
      <c r="A138" t="str">
        <v>::gCommInput.Array[137] AT %IW."8FLM01.0000.00I-1".EPL_FB_IN_137_I2007_S8A;</v>
      </c>
    </row>
    <row r="139" spans="1:1" x14ac:dyDescent="0.25">
      <c r="A139" t="str">
        <v>::gCommInput.Array[138] AT %IW."8FLM01.0000.00I-1".EPL_FB_IN_138_I2007_S8B;</v>
      </c>
    </row>
    <row r="140" spans="1:1" x14ac:dyDescent="0.25">
      <c r="A140" t="str">
        <v>::gCommInput.Array[139] AT %IW."8FLM01.0000.00I-1".EPL_FB_IN_139_I2007_S8C;</v>
      </c>
    </row>
    <row r="141" spans="1:1" x14ac:dyDescent="0.25">
      <c r="A141" t="str">
        <v>::gCommInput.Array[140] AT %IW."8FLM01.0000.00I-1".EPL_FB_IN_140_I2007_S8D;</v>
      </c>
    </row>
    <row r="142" spans="1:1" x14ac:dyDescent="0.25">
      <c r="A142" t="str">
        <v>::gCommInput.Array[141] AT %IW."8FLM01.0000.00I-1".EPL_FB_IN_141_I2007_S8E;</v>
      </c>
    </row>
    <row r="143" spans="1:1" x14ac:dyDescent="0.25">
      <c r="A143" t="str">
        <v>::gCommInput.Array[142] AT %IW."8FLM01.0000.00I-1".EPL_FB_IN_142_I2007_S8F;</v>
      </c>
    </row>
    <row r="144" spans="1:1" x14ac:dyDescent="0.25">
      <c r="A144" t="str">
        <v>::gCommInput.Array[143] AT %IW."8FLM01.0000.00I-1".EPL_FB_IN_143_I2007_S90;</v>
      </c>
    </row>
    <row r="145" spans="1:1" x14ac:dyDescent="0.25">
      <c r="A145" t="str">
        <v>::gCommInput.Array[144] AT %IW."8FLM01.0000.00I-1".EPL_FB_IN_144_I2007_S91;</v>
      </c>
    </row>
    <row r="146" spans="1:1" x14ac:dyDescent="0.25">
      <c r="A146" t="str">
        <v>::gCommInput.Array[145] AT %IW."8FLM01.0000.00I-1".EPL_FB_IN_145_I2007_S92;</v>
      </c>
    </row>
    <row r="147" spans="1:1" x14ac:dyDescent="0.25">
      <c r="A147" t="str">
        <v>::gCommInput.Array[146] AT %IW."8FLM01.0000.00I-1".EPL_FB_IN_146_I2007_S93;</v>
      </c>
    </row>
    <row r="148" spans="1:1" x14ac:dyDescent="0.25">
      <c r="A148" t="str">
        <v>::gCommInput.Array[147] AT %IW."8FLM01.0000.00I-1".EPL_FB_IN_147_I2007_S94;</v>
      </c>
    </row>
    <row r="149" spans="1:1" x14ac:dyDescent="0.25">
      <c r="A149" t="str">
        <v>::gCommInput.Array[148] AT %IW."8FLM01.0000.00I-1".EPL_FB_IN_148_I2007_S95;</v>
      </c>
    </row>
    <row r="150" spans="1:1" x14ac:dyDescent="0.25">
      <c r="A150" t="str">
        <v>::gCommInput.Array[149] AT %IW."8FLM01.0000.00I-1".EPL_FB_IN_149_I2007_S96;</v>
      </c>
    </row>
    <row r="151" spans="1:1" x14ac:dyDescent="0.25">
      <c r="A151" t="str">
        <v>::gCommInput.Array[150] AT %IW."8FLM01.0000.00I-1".EPL_FB_IN_150_I2007_S97;</v>
      </c>
    </row>
    <row r="152" spans="1:1" x14ac:dyDescent="0.25">
      <c r="A152" t="str">
        <v>::gCommInput.Array[151] AT %IW."8FLM01.0000.00I-1".EPL_FB_IN_151_I2007_S98;</v>
      </c>
    </row>
    <row r="153" spans="1:1" x14ac:dyDescent="0.25">
      <c r="A153" t="str">
        <v>::gCommInput.Array[152] AT %IW."8FLM01.0000.00I-1".EPL_FB_IN_152_I2007_S99;</v>
      </c>
    </row>
    <row r="154" spans="1:1" x14ac:dyDescent="0.25">
      <c r="A154" t="str">
        <v>::gCommInput.Array[153] AT %IW."8FLM01.0000.00I-1".EPL_FB_IN_153_I2007_S9A;</v>
      </c>
    </row>
    <row r="155" spans="1:1" x14ac:dyDescent="0.25">
      <c r="A155" t="str">
        <v>::gCommInput.Array[154] AT %IW."8FLM01.0000.00I-1".EPL_FB_IN_154_I2007_S9B;</v>
      </c>
    </row>
    <row r="156" spans="1:1" x14ac:dyDescent="0.25">
      <c r="A156" t="str">
        <v>::gCommInput.Array[155] AT %IW."8FLM01.0000.00I-1".EPL_FB_IN_155_I2007_S9C;</v>
      </c>
    </row>
    <row r="157" spans="1:1" x14ac:dyDescent="0.25">
      <c r="A157" t="str">
        <v>::gCommInput.Array[156] AT %IW."8FLM01.0000.00I-1".EPL_FB_IN_156_I2007_S9D;</v>
      </c>
    </row>
    <row r="158" spans="1:1" x14ac:dyDescent="0.25">
      <c r="A158" t="str">
        <v>::gCommInput.Array[157] AT %IW."8FLM01.0000.00I-1".EPL_FB_IN_157_I2007_S9E;</v>
      </c>
    </row>
    <row r="159" spans="1:1" x14ac:dyDescent="0.25">
      <c r="A159" t="str">
        <v>::gCommInput.Array[158] AT %IW."8FLM01.0000.00I-1".EPL_FB_IN_158_I2007_S9F;</v>
      </c>
    </row>
    <row r="160" spans="1:1" x14ac:dyDescent="0.25">
      <c r="A160" t="str">
        <v>::gCommInput.Array[159] AT %IW."8FLM01.0000.00I-1".EPL_FB_IN_159_I2007_SA0;</v>
      </c>
    </row>
    <row r="161" spans="1:1" x14ac:dyDescent="0.25">
      <c r="A161" t="str">
        <v>::gCommInput.Array[160] AT %IW."8FLM01.0000.00I-1".EPL_FB_IN_160_I2007_SA1;</v>
      </c>
    </row>
    <row r="162" spans="1:1" x14ac:dyDescent="0.25">
      <c r="A162" t="str">
        <v>::gCommInput.Array[161] AT %IW."8FLM01.0000.00I-1".EPL_FB_IN_161_I2007_SA2;</v>
      </c>
    </row>
    <row r="163" spans="1:1" x14ac:dyDescent="0.25">
      <c r="A163" t="str">
        <v>::gCommInput.Array[162] AT %IW."8FLM01.0000.00I-1".EPL_FB_IN_162_I2007_SA3;</v>
      </c>
    </row>
    <row r="164" spans="1:1" x14ac:dyDescent="0.25">
      <c r="A164" t="str">
        <v>::gCommInput.Array[163] AT %IW."8FLM01.0000.00I-1".EPL_FB_IN_163_I2007_SA4;</v>
      </c>
    </row>
    <row r="165" spans="1:1" x14ac:dyDescent="0.25">
      <c r="A165" t="str">
        <v>::gCommInput.Array[164] AT %IW."8FLM01.0000.00I-1".EPL_FB_IN_164_I2007_SA5;</v>
      </c>
    </row>
    <row r="166" spans="1:1" x14ac:dyDescent="0.25">
      <c r="A166" t="str">
        <v>::gCommInput.Array[165] AT %IW."8FLM01.0000.00I-1".EPL_FB_IN_165_I2007_SA6;</v>
      </c>
    </row>
    <row r="167" spans="1:1" x14ac:dyDescent="0.25">
      <c r="A167" t="str">
        <v>::gCommInput.Array[166] AT %IW."8FLM01.0000.00I-1".EPL_FB_IN_166_I2007_SA7;</v>
      </c>
    </row>
    <row r="168" spans="1:1" x14ac:dyDescent="0.25">
      <c r="A168" t="str">
        <v>::gCommInput.Array[167] AT %IW."8FLM01.0000.00I-1".EPL_FB_IN_167_I2007_SA8;</v>
      </c>
    </row>
    <row r="169" spans="1:1" x14ac:dyDescent="0.25">
      <c r="A169" t="str">
        <v>::gCommInput.Array[168] AT %IW."8FLM01.0000.00I-1".EPL_FB_IN_168_I2007_SA9;</v>
      </c>
    </row>
    <row r="170" spans="1:1" x14ac:dyDescent="0.25">
      <c r="A170" t="str">
        <v>::gCommInput.Array[169] AT %IW."8FLM01.0000.00I-1".EPL_FB_IN_169_I2007_SAA;</v>
      </c>
    </row>
    <row r="171" spans="1:1" x14ac:dyDescent="0.25">
      <c r="A171" t="str">
        <v>::gCommInput.Array[170] AT %IW."8FLM01.0000.00I-1".EPL_FB_IN_170_I2007_SAB;</v>
      </c>
    </row>
    <row r="172" spans="1:1" x14ac:dyDescent="0.25">
      <c r="A172" t="str">
        <v>::gCommInput.Array[171] AT %IW."8FLM01.0000.00I-1".EPL_FB_IN_171_I2007_SAC;</v>
      </c>
    </row>
    <row r="173" spans="1:1" x14ac:dyDescent="0.25">
      <c r="A173" t="str">
        <v>::gCommInput.Array[172] AT %IW."8FLM01.0000.00I-1".EPL_FB_IN_172_I2007_SAD;</v>
      </c>
    </row>
    <row r="174" spans="1:1" x14ac:dyDescent="0.25">
      <c r="A174" t="str">
        <v>::gCommInput.Array[173] AT %IW."8FLM01.0000.00I-1".EPL_FB_IN_173_I2007_SAE;</v>
      </c>
    </row>
    <row r="175" spans="1:1" x14ac:dyDescent="0.25">
      <c r="A175" t="str">
        <v>::gCommInput.Array[174] AT %IW."8FLM01.0000.00I-1".EPL_FB_IN_174_I2007_SAF;</v>
      </c>
    </row>
    <row r="176" spans="1:1" x14ac:dyDescent="0.25">
      <c r="A176" t="str">
        <v>::gCommInput.Array[175] AT %IW."8FLM01.0000.00I-1".EPL_FB_IN_175_I2007_SB0;</v>
      </c>
    </row>
    <row r="177" spans="1:1" x14ac:dyDescent="0.25">
      <c r="A177" t="str">
        <v>::gCommInput.Array[176] AT %IW."8FLM01.0000.00I-1".EPL_FB_IN_176_I2007_SB1;</v>
      </c>
    </row>
    <row r="178" spans="1:1" x14ac:dyDescent="0.25">
      <c r="A178" t="str">
        <v>::gCommInput.Array[177] AT %IW."8FLM01.0000.00I-1".EPL_FB_IN_177_I2007_SB2;</v>
      </c>
    </row>
    <row r="179" spans="1:1" x14ac:dyDescent="0.25">
      <c r="A179" t="str">
        <v>::gCommInput.Array[178] AT %IW."8FLM01.0000.00I-1".EPL_FB_IN_178_I2007_SB3;</v>
      </c>
    </row>
    <row r="180" spans="1:1" x14ac:dyDescent="0.25">
      <c r="A180" t="str">
        <v>::gCommInput.Array[179] AT %IW."8FLM01.0000.00I-1".EPL_FB_IN_179_I2007_SB4;</v>
      </c>
    </row>
    <row r="181" spans="1:1" x14ac:dyDescent="0.25">
      <c r="A181" t="str">
        <v>::gCommInput.Array[180] AT %IW."8FLM01.0000.00I-1".EPL_FB_IN_180_I2007_SB5;</v>
      </c>
    </row>
    <row r="182" spans="1:1" x14ac:dyDescent="0.25">
      <c r="A182" t="str">
        <v>::gCommInput.Array[181] AT %IW."8FLM01.0000.00I-1".EPL_FB_IN_181_I2007_SB6;</v>
      </c>
    </row>
    <row r="183" spans="1:1" x14ac:dyDescent="0.25">
      <c r="A183" t="str">
        <v>::gCommInput.Array[182] AT %IW."8FLM01.0000.00I-1".EPL_FB_IN_182_I2007_SB7;</v>
      </c>
    </row>
    <row r="184" spans="1:1" x14ac:dyDescent="0.25">
      <c r="A184" t="str">
        <v>::gCommInput.Array[183] AT %IW."8FLM01.0000.00I-1".EPL_FB_IN_183_I2007_SB8;</v>
      </c>
    </row>
    <row r="185" spans="1:1" x14ac:dyDescent="0.25">
      <c r="A185" t="str">
        <v>::gCommInput.Array[184] AT %IW."8FLM01.0000.00I-1".EPL_FB_IN_184_I2007_SB9;</v>
      </c>
    </row>
    <row r="186" spans="1:1" x14ac:dyDescent="0.25">
      <c r="A186" t="str">
        <v>::gCommInput.Array[185] AT %IW."8FLM01.0000.00I-1".EPL_FB_IN_185_I2007_SBA;</v>
      </c>
    </row>
    <row r="187" spans="1:1" x14ac:dyDescent="0.25">
      <c r="A187" t="str">
        <v>::gCommInput.Array[186] AT %IW."8FLM01.0000.00I-1".EPL_FB_IN_186_I2007_SBB;</v>
      </c>
    </row>
    <row r="188" spans="1:1" x14ac:dyDescent="0.25">
      <c r="A188" t="str">
        <v>::gCommInput.Array[187] AT %IW."8FLM01.0000.00I-1".EPL_FB_IN_187_I2007_SBC;</v>
      </c>
    </row>
    <row r="189" spans="1:1" x14ac:dyDescent="0.25">
      <c r="A189" t="str">
        <v>::gCommInput.Array[188] AT %IW."8FLM01.0000.00I-1".EPL_FB_IN_188_I2007_SBD;</v>
      </c>
    </row>
    <row r="190" spans="1:1" x14ac:dyDescent="0.25">
      <c r="A190" t="str">
        <v>::gCommInput.Array[189] AT %IW."8FLM01.0000.00I-1".EPL_FB_IN_189_I2007_SBE;</v>
      </c>
    </row>
    <row r="191" spans="1:1" x14ac:dyDescent="0.25">
      <c r="A191" t="str">
        <v>::gCommInput.Array[190] AT %IW."8FLM01.0000.00I-1".EPL_FB_IN_190_I2007_SBF;</v>
      </c>
    </row>
    <row r="192" spans="1:1" x14ac:dyDescent="0.25">
      <c r="A192" t="str">
        <v>::gCommInput.Array[191] AT %IW."8FLM01.0000.00I-1".EPL_FB_IN_191_I2007_SC0;</v>
      </c>
    </row>
    <row r="193" spans="1:1" x14ac:dyDescent="0.25">
      <c r="A193" t="str">
        <v>::gCommInput.Array[192] AT %IW."8FLM01.0000.00I-1".EPL_FB_IN_192_I2007_SC1;</v>
      </c>
    </row>
    <row r="194" spans="1:1" x14ac:dyDescent="0.25">
      <c r="A194" t="str">
        <v>::gCommInput.Array[193] AT %IW."8FLM01.0000.00I-1".EPL_FB_IN_193_I2007_SC2;</v>
      </c>
    </row>
    <row r="195" spans="1:1" x14ac:dyDescent="0.25">
      <c r="A195" t="str">
        <v>::gCommInput.Array[194] AT %IW."8FLM01.0000.00I-1".EPL_FB_IN_194_I2007_SC3;</v>
      </c>
    </row>
    <row r="196" spans="1:1" x14ac:dyDescent="0.25">
      <c r="A196" t="str">
        <v>::gCommInput.Array[195] AT %IW."8FLM01.0000.00I-1".EPL_FB_IN_195_I2007_SC4;</v>
      </c>
    </row>
    <row r="197" spans="1:1" x14ac:dyDescent="0.25">
      <c r="A197" t="str">
        <v>::gCommInput.Array[196] AT %IW."8FLM01.0000.00I-1".EPL_FB_IN_196_I2007_SC5;</v>
      </c>
    </row>
    <row r="198" spans="1:1" x14ac:dyDescent="0.25">
      <c r="A198" t="str">
        <v>::gCommInput.Array[197] AT %IW."8FLM01.0000.00I-1".EPL_FB_IN_197_I2007_SC6;</v>
      </c>
    </row>
    <row r="199" spans="1:1" x14ac:dyDescent="0.25">
      <c r="A199" t="str">
        <v>::gCommInput.Array[198] AT %IW."8FLM01.0000.00I-1".EPL_FB_IN_198_I2007_SC7;</v>
      </c>
    </row>
    <row r="200" spans="1:1" x14ac:dyDescent="0.25">
      <c r="A200" t="str">
        <v>::gCommInput.Array[199] AT %IW."8FLM01.0000.00I-1".EPL_FB_IN_199_I2007_SC8;</v>
      </c>
    </row>
    <row r="201" spans="1:1" x14ac:dyDescent="0.25">
      <c r="A201" t="str" cm="1">
        <f t="array" ref="A201:A400">Tabelle24[Inputstrings]</f>
        <v>::gCommOutput.Array[0] AT %QW."8FLM01.0000.00I-1".EPL_FB_OUT_0_I2008_S01Out;</v>
      </c>
    </row>
    <row r="202" spans="1:1" x14ac:dyDescent="0.25">
      <c r="A202" t="str">
        <v>::gCommOutput.Array[1] AT %QW."8FLM01.0000.00I-1".EPL_FB_OUT_1_I2008_S02Out;</v>
      </c>
    </row>
    <row r="203" spans="1:1" x14ac:dyDescent="0.25">
      <c r="A203" t="str">
        <v>::gCommOutput.Array[2] AT %QW."8FLM01.0000.00I-1".EPL_FB_OUT_2_I2008_S03Out;</v>
      </c>
    </row>
    <row r="204" spans="1:1" x14ac:dyDescent="0.25">
      <c r="A204" t="str">
        <v>::gCommOutput.Array[3] AT %QW."8FLM01.0000.00I-1".EPL_FB_OUT_3_I2008_S04Out;</v>
      </c>
    </row>
    <row r="205" spans="1:1" x14ac:dyDescent="0.25">
      <c r="A205" t="str">
        <v>::gCommOutput.Array[4] AT %QW."8FLM01.0000.00I-1".EPL_FB_OUT_4_I2008_S05Out;</v>
      </c>
    </row>
    <row r="206" spans="1:1" x14ac:dyDescent="0.25">
      <c r="A206" t="str">
        <v>::gCommOutput.Array[5] AT %QW."8FLM01.0000.00I-1".EPL_FB_OUT_5_I2008_S06Out;</v>
      </c>
    </row>
    <row r="207" spans="1:1" x14ac:dyDescent="0.25">
      <c r="A207" t="str">
        <v>::gCommOutput.Array[6] AT %QW."8FLM01.0000.00I-1".EPL_FB_OUT_6_I2008_S07Out;</v>
      </c>
    </row>
    <row r="208" spans="1:1" x14ac:dyDescent="0.25">
      <c r="A208" t="str">
        <v>::gCommOutput.Array[7] AT %QW."8FLM01.0000.00I-1".EPL_FB_OUT_7_I2008_S08Out;</v>
      </c>
    </row>
    <row r="209" spans="1:1" x14ac:dyDescent="0.25">
      <c r="A209" t="str">
        <v>::gCommOutput.Array[8] AT %QW."8FLM01.0000.00I-1".EPL_FB_OUT_8_I2008_S09Out;</v>
      </c>
    </row>
    <row r="210" spans="1:1" x14ac:dyDescent="0.25">
      <c r="A210" t="str">
        <v>::gCommOutput.Array[9] AT %QW."8FLM01.0000.00I-1".EPL_FB_OUT_9_I2008_S0AOut;</v>
      </c>
    </row>
    <row r="211" spans="1:1" x14ac:dyDescent="0.25">
      <c r="A211" t="str">
        <v>::gCommOutput.Array[10] AT %QW."8FLM01.0000.00I-1".EPL_FB_OUT_10_I2008_S0BOut;</v>
      </c>
    </row>
    <row r="212" spans="1:1" x14ac:dyDescent="0.25">
      <c r="A212" t="str">
        <v>::gCommOutput.Array[11] AT %QW."8FLM01.0000.00I-1".EPL_FB_OUT_11_I2008_S0COut;</v>
      </c>
    </row>
    <row r="213" spans="1:1" x14ac:dyDescent="0.25">
      <c r="A213" t="str">
        <v>::gCommOutput.Array[12] AT %QW."8FLM01.0000.00I-1".EPL_FB_OUT_12_I2008_S0DOut;</v>
      </c>
    </row>
    <row r="214" spans="1:1" x14ac:dyDescent="0.25">
      <c r="A214" t="str">
        <v>::gCommOutput.Array[13] AT %QW."8FLM01.0000.00I-1".EPL_FB_OUT_13_I2008_S0EOut;</v>
      </c>
    </row>
    <row r="215" spans="1:1" x14ac:dyDescent="0.25">
      <c r="A215" t="str">
        <v>::gCommOutput.Array[14] AT %QW."8FLM01.0000.00I-1".EPL_FB_OUT_14_I2008_S0FOut;</v>
      </c>
    </row>
    <row r="216" spans="1:1" x14ac:dyDescent="0.25">
      <c r="A216" t="str">
        <v>::gCommOutput.Array[15] AT %QW."8FLM01.0000.00I-1".EPL_FB_OUT_15_I2008_S10Out;</v>
      </c>
    </row>
    <row r="217" spans="1:1" x14ac:dyDescent="0.25">
      <c r="A217" t="str">
        <v>::gCommOutput.Array[16] AT %QW."8FLM01.0000.00I-1".EPL_FB_OUT_16_I2008_S11Out;</v>
      </c>
    </row>
    <row r="218" spans="1:1" x14ac:dyDescent="0.25">
      <c r="A218" t="str">
        <v>::gCommOutput.Array[17] AT %QW."8FLM01.0000.00I-1".EPL_FB_OUT_17_I2008_S12Out;</v>
      </c>
    </row>
    <row r="219" spans="1:1" x14ac:dyDescent="0.25">
      <c r="A219" t="str">
        <v>::gCommOutput.Array[18] AT %QW."8FLM01.0000.00I-1".EPL_FB_OUT_18_I2008_S13Out;</v>
      </c>
    </row>
    <row r="220" spans="1:1" x14ac:dyDescent="0.25">
      <c r="A220" t="str">
        <v>::gCommOutput.Array[19] AT %QW."8FLM01.0000.00I-1".EPL_FB_OUT_19_I2008_S14Out;</v>
      </c>
    </row>
    <row r="221" spans="1:1" x14ac:dyDescent="0.25">
      <c r="A221" t="str">
        <v>::gCommOutput.Array[20] AT %QW."8FLM01.0000.00I-1".EPL_FB_OUT_20_I2008_S15Out;</v>
      </c>
    </row>
    <row r="222" spans="1:1" x14ac:dyDescent="0.25">
      <c r="A222" t="str">
        <v>::gCommOutput.Array[21] AT %QW."8FLM01.0000.00I-1".EPL_FB_OUT_21_I2008_S16Out;</v>
      </c>
    </row>
    <row r="223" spans="1:1" x14ac:dyDescent="0.25">
      <c r="A223" t="str">
        <v>::gCommOutput.Array[22] AT %QW."8FLM01.0000.00I-1".EPL_FB_OUT_22_I2008_S17Out;</v>
      </c>
    </row>
    <row r="224" spans="1:1" x14ac:dyDescent="0.25">
      <c r="A224" t="str">
        <v>::gCommOutput.Array[23] AT %QW."8FLM01.0000.00I-1".EPL_FB_OUT_23_I2008_S18Out;</v>
      </c>
    </row>
    <row r="225" spans="1:1" x14ac:dyDescent="0.25">
      <c r="A225" t="str">
        <v>::gCommOutput.Array[24] AT %QW."8FLM01.0000.00I-1".EPL_FB_OUT_24_I2008_S19Out;</v>
      </c>
    </row>
    <row r="226" spans="1:1" x14ac:dyDescent="0.25">
      <c r="A226" t="str">
        <v>::gCommOutput.Array[25] AT %QW."8FLM01.0000.00I-1".EPL_FB_OUT_25_I2008_S1AOut;</v>
      </c>
    </row>
    <row r="227" spans="1:1" x14ac:dyDescent="0.25">
      <c r="A227" t="str">
        <v>::gCommOutput.Array[26] AT %QW."8FLM01.0000.00I-1".EPL_FB_OUT_26_I2008_S1BOut;</v>
      </c>
    </row>
    <row r="228" spans="1:1" x14ac:dyDescent="0.25">
      <c r="A228" t="str">
        <v>::gCommOutput.Array[27] AT %QW."8FLM01.0000.00I-1".EPL_FB_OUT_27_I2008_S1COut;</v>
      </c>
    </row>
    <row r="229" spans="1:1" x14ac:dyDescent="0.25">
      <c r="A229" t="str">
        <v>::gCommOutput.Array[28] AT %QW."8FLM01.0000.00I-1".EPL_FB_OUT_28_I2008_S1DOut;</v>
      </c>
    </row>
    <row r="230" spans="1:1" x14ac:dyDescent="0.25">
      <c r="A230" t="str">
        <v>::gCommOutput.Array[29] AT %QW."8FLM01.0000.00I-1".EPL_FB_OUT_29_I2008_S1EOut;</v>
      </c>
    </row>
    <row r="231" spans="1:1" x14ac:dyDescent="0.25">
      <c r="A231" t="str">
        <v>::gCommOutput.Array[30] AT %QW."8FLM01.0000.00I-1".EPL_FB_OUT_30_I2008_S1FOut;</v>
      </c>
    </row>
    <row r="232" spans="1:1" x14ac:dyDescent="0.25">
      <c r="A232" t="str">
        <v>::gCommOutput.Array[31] AT %QW."8FLM01.0000.00I-1".EPL_FB_OUT_31_I2008_S20Out;</v>
      </c>
    </row>
    <row r="233" spans="1:1" x14ac:dyDescent="0.25">
      <c r="A233" t="str">
        <v>::gCommOutput.Array[32] AT %QW."8FLM01.0000.00I-1".EPL_FB_OUT_32_I2008_S21Out;</v>
      </c>
    </row>
    <row r="234" spans="1:1" x14ac:dyDescent="0.25">
      <c r="A234" t="str">
        <v>::gCommOutput.Array[33] AT %QW."8FLM01.0000.00I-1".EPL_FB_OUT_33_I2008_S22Out;</v>
      </c>
    </row>
    <row r="235" spans="1:1" x14ac:dyDescent="0.25">
      <c r="A235" t="str">
        <v>::gCommOutput.Array[34] AT %QW."8FLM01.0000.00I-1".EPL_FB_OUT_34_I2008_S23Out;</v>
      </c>
    </row>
    <row r="236" spans="1:1" x14ac:dyDescent="0.25">
      <c r="A236" t="str">
        <v>::gCommOutput.Array[35] AT %QW."8FLM01.0000.00I-1".EPL_FB_OUT_35_I2008_S24Out;</v>
      </c>
    </row>
    <row r="237" spans="1:1" x14ac:dyDescent="0.25">
      <c r="A237" t="str">
        <v>::gCommOutput.Array[36] AT %QW."8FLM01.0000.00I-1".EPL_FB_OUT_36_I2008_S25Out;</v>
      </c>
    </row>
    <row r="238" spans="1:1" x14ac:dyDescent="0.25">
      <c r="A238" t="str">
        <v>::gCommOutput.Array[37] AT %QW."8FLM01.0000.00I-1".EPL_FB_OUT_37_I2008_S26Out;</v>
      </c>
    </row>
    <row r="239" spans="1:1" x14ac:dyDescent="0.25">
      <c r="A239" t="str">
        <v>::gCommOutput.Array[38] AT %QW."8FLM01.0000.00I-1".EPL_FB_OUT_38_I2008_S27Out;</v>
      </c>
    </row>
    <row r="240" spans="1:1" x14ac:dyDescent="0.25">
      <c r="A240" t="str">
        <v>::gCommOutput.Array[39] AT %QW."8FLM01.0000.00I-1".EPL_FB_OUT_39_I2008_S28Out;</v>
      </c>
    </row>
    <row r="241" spans="1:1" x14ac:dyDescent="0.25">
      <c r="A241" t="str">
        <v>::gCommOutput.Array[40] AT %QW."8FLM01.0000.00I-1".EPL_FB_OUT_40_I2008_S29Out;</v>
      </c>
    </row>
    <row r="242" spans="1:1" x14ac:dyDescent="0.25">
      <c r="A242" t="str">
        <v>::gCommOutput.Array[41] AT %QW."8FLM01.0000.00I-1".EPL_FB_OUT_41_I2008_S2AOut;</v>
      </c>
    </row>
    <row r="243" spans="1:1" x14ac:dyDescent="0.25">
      <c r="A243" t="str">
        <v>::gCommOutput.Array[42] AT %QW."8FLM01.0000.00I-1".EPL_FB_OUT_42_I2008_S2BOut;</v>
      </c>
    </row>
    <row r="244" spans="1:1" x14ac:dyDescent="0.25">
      <c r="A244" t="str">
        <v>::gCommOutput.Array[43] AT %QW."8FLM01.0000.00I-1".EPL_FB_OUT_43_I2008_S2COut;</v>
      </c>
    </row>
    <row r="245" spans="1:1" x14ac:dyDescent="0.25">
      <c r="A245" t="str">
        <v>::gCommOutput.Array[44] AT %QW."8FLM01.0000.00I-1".EPL_FB_OUT_44_I2008_S2DOut;</v>
      </c>
    </row>
    <row r="246" spans="1:1" x14ac:dyDescent="0.25">
      <c r="A246" t="str">
        <v>::gCommOutput.Array[45] AT %QW."8FLM01.0000.00I-1".EPL_FB_OUT_45_I2008_S2EOut;</v>
      </c>
    </row>
    <row r="247" spans="1:1" x14ac:dyDescent="0.25">
      <c r="A247" t="str">
        <v>::gCommOutput.Array[46] AT %QW."8FLM01.0000.00I-1".EPL_FB_OUT_46_I2008_S2FOut;</v>
      </c>
    </row>
    <row r="248" spans="1:1" x14ac:dyDescent="0.25">
      <c r="A248" t="str">
        <v>::gCommOutput.Array[47] AT %QW."8FLM01.0000.00I-1".EPL_FB_OUT_47_I2008_S30Out;</v>
      </c>
    </row>
    <row r="249" spans="1:1" x14ac:dyDescent="0.25">
      <c r="A249" t="str">
        <v>::gCommOutput.Array[48] AT %QW."8FLM01.0000.00I-1".EPL_FB_OUT_48_I2008_S31Out;</v>
      </c>
    </row>
    <row r="250" spans="1:1" x14ac:dyDescent="0.25">
      <c r="A250" t="str">
        <v>::gCommOutput.Array[49] AT %QW."8FLM01.0000.00I-1".EPL_FB_OUT_49_I2008_S32Out;</v>
      </c>
    </row>
    <row r="251" spans="1:1" x14ac:dyDescent="0.25">
      <c r="A251" t="str">
        <v>::gCommOutput.Array[50] AT %QW."8FLM01.0000.00I-1".EPL_FB_OUT_50_I2008_S33Out;</v>
      </c>
    </row>
    <row r="252" spans="1:1" x14ac:dyDescent="0.25">
      <c r="A252" t="str">
        <v>::gCommOutput.Array[51] AT %QW."8FLM01.0000.00I-1".EPL_FB_OUT_51_I2008_S34Out;</v>
      </c>
    </row>
    <row r="253" spans="1:1" x14ac:dyDescent="0.25">
      <c r="A253" t="str">
        <v>::gCommOutput.Array[52] AT %QW."8FLM01.0000.00I-1".EPL_FB_OUT_52_I2008_S35Out;</v>
      </c>
    </row>
    <row r="254" spans="1:1" x14ac:dyDescent="0.25">
      <c r="A254" t="str">
        <v>::gCommOutput.Array[53] AT %QW."8FLM01.0000.00I-1".EPL_FB_OUT_53_I2008_S36Out;</v>
      </c>
    </row>
    <row r="255" spans="1:1" x14ac:dyDescent="0.25">
      <c r="A255" t="str">
        <v>::gCommOutput.Array[54] AT %QW."8FLM01.0000.00I-1".EPL_FB_OUT_54_I2008_S37Out;</v>
      </c>
    </row>
    <row r="256" spans="1:1" x14ac:dyDescent="0.25">
      <c r="A256" t="str">
        <v>::gCommOutput.Array[55] AT %QW."8FLM01.0000.00I-1".EPL_FB_OUT_55_I2008_S38Out;</v>
      </c>
    </row>
    <row r="257" spans="1:1" x14ac:dyDescent="0.25">
      <c r="A257" t="str">
        <v>::gCommOutput.Array[56] AT %QW."8FLM01.0000.00I-1".EPL_FB_OUT_56_I2008_S39Out;</v>
      </c>
    </row>
    <row r="258" spans="1:1" x14ac:dyDescent="0.25">
      <c r="A258" t="str">
        <v>::gCommOutput.Array[57] AT %QW."8FLM01.0000.00I-1".EPL_FB_OUT_57_I2008_S3AOut;</v>
      </c>
    </row>
    <row r="259" spans="1:1" x14ac:dyDescent="0.25">
      <c r="A259" t="str">
        <v>::gCommOutput.Array[58] AT %QW."8FLM01.0000.00I-1".EPL_FB_OUT_58_I2008_S3BOut;</v>
      </c>
    </row>
    <row r="260" spans="1:1" x14ac:dyDescent="0.25">
      <c r="A260" t="str">
        <v>::gCommOutput.Array[59] AT %QW."8FLM01.0000.00I-1".EPL_FB_OUT_59_I2008_S3COut;</v>
      </c>
    </row>
    <row r="261" spans="1:1" x14ac:dyDescent="0.25">
      <c r="A261" t="str">
        <v>::gCommOutput.Array[60] AT %QW."8FLM01.0000.00I-1".EPL_FB_OUT_60_I2008_S3DOut;</v>
      </c>
    </row>
    <row r="262" spans="1:1" x14ac:dyDescent="0.25">
      <c r="A262" t="str">
        <v>::gCommOutput.Array[61] AT %QW."8FLM01.0000.00I-1".EPL_FB_OUT_61_I2008_S3EOut;</v>
      </c>
    </row>
    <row r="263" spans="1:1" x14ac:dyDescent="0.25">
      <c r="A263" t="str">
        <v>::gCommOutput.Array[62] AT %QW."8FLM01.0000.00I-1".EPL_FB_OUT_62_I2008_S3FOut;</v>
      </c>
    </row>
    <row r="264" spans="1:1" x14ac:dyDescent="0.25">
      <c r="A264" t="str">
        <v>::gCommOutput.Array[63] AT %QW."8FLM01.0000.00I-1".EPL_FB_OUT_63_I2008_S40Out;</v>
      </c>
    </row>
    <row r="265" spans="1:1" x14ac:dyDescent="0.25">
      <c r="A265" t="str">
        <v>::gCommOutput.Array[64] AT %QW."8FLM01.0000.00I-1".EPL_FB_OUT_64_I2008_S41Out;</v>
      </c>
    </row>
    <row r="266" spans="1:1" x14ac:dyDescent="0.25">
      <c r="A266" t="str">
        <v>::gCommOutput.Array[65] AT %QW."8FLM01.0000.00I-1".EPL_FB_OUT_65_I2008_S42Out;</v>
      </c>
    </row>
    <row r="267" spans="1:1" x14ac:dyDescent="0.25">
      <c r="A267" t="str">
        <v>::gCommOutput.Array[66] AT %QW."8FLM01.0000.00I-1".EPL_FB_OUT_66_I2008_S43Out;</v>
      </c>
    </row>
    <row r="268" spans="1:1" x14ac:dyDescent="0.25">
      <c r="A268" t="str">
        <v>::gCommOutput.Array[67] AT %QW."8FLM01.0000.00I-1".EPL_FB_OUT_67_I2008_S44Out;</v>
      </c>
    </row>
    <row r="269" spans="1:1" x14ac:dyDescent="0.25">
      <c r="A269" t="str">
        <v>::gCommOutput.Array[68] AT %QW."8FLM01.0000.00I-1".EPL_FB_OUT_68_I2008_S45Out;</v>
      </c>
    </row>
    <row r="270" spans="1:1" x14ac:dyDescent="0.25">
      <c r="A270" t="str">
        <v>::gCommOutput.Array[69] AT %QW."8FLM01.0000.00I-1".EPL_FB_OUT_69_I2008_S46Out;</v>
      </c>
    </row>
    <row r="271" spans="1:1" x14ac:dyDescent="0.25">
      <c r="A271" t="str">
        <v>::gCommOutput.Array[70] AT %QW."8FLM01.0000.00I-1".EPL_FB_OUT_70_I2008_S47Out;</v>
      </c>
    </row>
    <row r="272" spans="1:1" x14ac:dyDescent="0.25">
      <c r="A272" t="str">
        <v>::gCommOutput.Array[71] AT %QW."8FLM01.0000.00I-1".EPL_FB_OUT_71_I2008_S48Out;</v>
      </c>
    </row>
    <row r="273" spans="1:1" x14ac:dyDescent="0.25">
      <c r="A273" t="str">
        <v>::gCommOutput.Array[72] AT %QW."8FLM01.0000.00I-1".EPL_FB_OUT_72_I2008_S49Out;</v>
      </c>
    </row>
    <row r="274" spans="1:1" x14ac:dyDescent="0.25">
      <c r="A274" t="str">
        <v>::gCommOutput.Array[73] AT %QW."8FLM01.0000.00I-1".EPL_FB_OUT_73_I2008_S4AOut;</v>
      </c>
    </row>
    <row r="275" spans="1:1" x14ac:dyDescent="0.25">
      <c r="A275" t="str">
        <v>::gCommOutput.Array[74] AT %QW."8FLM01.0000.00I-1".EPL_FB_OUT_74_I2008_S4BOut;</v>
      </c>
    </row>
    <row r="276" spans="1:1" x14ac:dyDescent="0.25">
      <c r="A276" t="str">
        <v>::gCommOutput.Array[75] AT %QW."8FLM01.0000.00I-1".EPL_FB_OUT_75_I2008_S4COut;</v>
      </c>
    </row>
    <row r="277" spans="1:1" x14ac:dyDescent="0.25">
      <c r="A277" t="str">
        <v>::gCommOutput.Array[76] AT %QW."8FLM01.0000.00I-1".EPL_FB_OUT_76_I2008_S4DOut;</v>
      </c>
    </row>
    <row r="278" spans="1:1" x14ac:dyDescent="0.25">
      <c r="A278" t="str">
        <v>::gCommOutput.Array[77] AT %QW."8FLM01.0000.00I-1".EPL_FB_OUT_77_I2008_S4EOut;</v>
      </c>
    </row>
    <row r="279" spans="1:1" x14ac:dyDescent="0.25">
      <c r="A279" t="str">
        <v>::gCommOutput.Array[78] AT %QW."8FLM01.0000.00I-1".EPL_FB_OUT_78_I2008_S4FOut;</v>
      </c>
    </row>
    <row r="280" spans="1:1" x14ac:dyDescent="0.25">
      <c r="A280" t="str">
        <v>::gCommOutput.Array[79] AT %QW."8FLM01.0000.00I-1".EPL_FB_OUT_79_I2008_S50Out;</v>
      </c>
    </row>
    <row r="281" spans="1:1" x14ac:dyDescent="0.25">
      <c r="A281" t="str">
        <v>::gCommOutput.Array[80] AT %QW."8FLM01.0000.00I-1".EPL_FB_OUT_80_I2008_S51Out;</v>
      </c>
    </row>
    <row r="282" spans="1:1" x14ac:dyDescent="0.25">
      <c r="A282" t="str">
        <v>::gCommOutput.Array[81] AT %QW."8FLM01.0000.00I-1".EPL_FB_OUT_81_I2008_S52Out;</v>
      </c>
    </row>
    <row r="283" spans="1:1" x14ac:dyDescent="0.25">
      <c r="A283" t="str">
        <v>::gCommOutput.Array[82] AT %QW."8FLM01.0000.00I-1".EPL_FB_OUT_82_I2008_S53Out;</v>
      </c>
    </row>
    <row r="284" spans="1:1" x14ac:dyDescent="0.25">
      <c r="A284" t="str">
        <v>::gCommOutput.Array[83] AT %QW."8FLM01.0000.00I-1".EPL_FB_OUT_83_I2008_S54Out;</v>
      </c>
    </row>
    <row r="285" spans="1:1" x14ac:dyDescent="0.25">
      <c r="A285" t="str">
        <v>::gCommOutput.Array[84] AT %QW."8FLM01.0000.00I-1".EPL_FB_OUT_84_I2008_S55Out;</v>
      </c>
    </row>
    <row r="286" spans="1:1" x14ac:dyDescent="0.25">
      <c r="A286" t="str">
        <v>::gCommOutput.Array[85] AT %QW."8FLM01.0000.00I-1".EPL_FB_OUT_85_I2008_S56Out;</v>
      </c>
    </row>
    <row r="287" spans="1:1" x14ac:dyDescent="0.25">
      <c r="A287" t="str">
        <v>::gCommOutput.Array[86] AT %QW."8FLM01.0000.00I-1".EPL_FB_OUT_86_I2008_S57Out;</v>
      </c>
    </row>
    <row r="288" spans="1:1" x14ac:dyDescent="0.25">
      <c r="A288" t="str">
        <v>::gCommOutput.Array[87] AT %QW."8FLM01.0000.00I-1".EPL_FB_OUT_87_I2008_S58Out;</v>
      </c>
    </row>
    <row r="289" spans="1:1" x14ac:dyDescent="0.25">
      <c r="A289" t="str">
        <v>::gCommOutput.Array[88] AT %QW."8FLM01.0000.00I-1".EPL_FB_OUT_88_I2008_S59Out;</v>
      </c>
    </row>
    <row r="290" spans="1:1" x14ac:dyDescent="0.25">
      <c r="A290" t="str">
        <v>::gCommOutput.Array[89] AT %QW."8FLM01.0000.00I-1".EPL_FB_OUT_89_I2008_S5AOut;</v>
      </c>
    </row>
    <row r="291" spans="1:1" x14ac:dyDescent="0.25">
      <c r="A291" t="str">
        <v>::gCommOutput.Array[90] AT %QW."8FLM01.0000.00I-1".EPL_FB_OUT_90_I2008_S5BOut;</v>
      </c>
    </row>
    <row r="292" spans="1:1" x14ac:dyDescent="0.25">
      <c r="A292" t="str">
        <v>::gCommOutput.Array[91] AT %QW."8FLM01.0000.00I-1".EPL_FB_OUT_91_I2008_S5COut;</v>
      </c>
    </row>
    <row r="293" spans="1:1" x14ac:dyDescent="0.25">
      <c r="A293" t="str">
        <v>::gCommOutput.Array[92] AT %QW."8FLM01.0000.00I-1".EPL_FB_OUT_92_I2008_S5DOut;</v>
      </c>
    </row>
    <row r="294" spans="1:1" x14ac:dyDescent="0.25">
      <c r="A294" t="str">
        <v>::gCommOutput.Array[93] AT %QW."8FLM01.0000.00I-1".EPL_FB_OUT_93_I2008_S5EOut;</v>
      </c>
    </row>
    <row r="295" spans="1:1" x14ac:dyDescent="0.25">
      <c r="A295" t="str">
        <v>::gCommOutput.Array[94] AT %QW."8FLM01.0000.00I-1".EPL_FB_OUT_94_I2008_S5FOut;</v>
      </c>
    </row>
    <row r="296" spans="1:1" x14ac:dyDescent="0.25">
      <c r="A296" t="str">
        <v>::gCommOutput.Array[95] AT %QW."8FLM01.0000.00I-1".EPL_FB_OUT_95_I2008_S60Out;</v>
      </c>
    </row>
    <row r="297" spans="1:1" x14ac:dyDescent="0.25">
      <c r="A297" t="str">
        <v>::gCommOutput.Array[96] AT %QW."8FLM01.0000.00I-1".EPL_FB_OUT_96_I2008_S61Out;</v>
      </c>
    </row>
    <row r="298" spans="1:1" x14ac:dyDescent="0.25">
      <c r="A298" t="str">
        <v>::gCommOutput.Array[97] AT %QW."8FLM01.0000.00I-1".EPL_FB_OUT_97_I2008_S62Out;</v>
      </c>
    </row>
    <row r="299" spans="1:1" x14ac:dyDescent="0.25">
      <c r="A299" t="str">
        <v>::gCommOutput.Array[98] AT %QW."8FLM01.0000.00I-1".EPL_FB_OUT_98_I2008_S63Out;</v>
      </c>
    </row>
    <row r="300" spans="1:1" x14ac:dyDescent="0.25">
      <c r="A300" t="str">
        <v>::gCommOutput.Array[99] AT %QW."8FLM01.0000.00I-1".EPL_FB_OUT_99_I2008_S64Out;</v>
      </c>
    </row>
    <row r="301" spans="1:1" x14ac:dyDescent="0.25">
      <c r="A301" t="str">
        <v>::gCommOutput.Array[100] AT %QW."8FLM01.0000.00I-1".EPL_FB_OUT_100_I2008_S65Out;</v>
      </c>
    </row>
    <row r="302" spans="1:1" x14ac:dyDescent="0.25">
      <c r="A302" t="str">
        <v>::gCommOutput.Array[101] AT %QW."8FLM01.0000.00I-1".EPL_FB_OUT_101_I2008_S66Out;</v>
      </c>
    </row>
    <row r="303" spans="1:1" x14ac:dyDescent="0.25">
      <c r="A303" t="str">
        <v>::gCommOutput.Array[102] AT %QW."8FLM01.0000.00I-1".EPL_FB_OUT_102_I2008_S67Out;</v>
      </c>
    </row>
    <row r="304" spans="1:1" x14ac:dyDescent="0.25">
      <c r="A304" t="str">
        <v>::gCommOutput.Array[103] AT %QW."8FLM01.0000.00I-1".EPL_FB_OUT_103_I2008_S68Out;</v>
      </c>
    </row>
    <row r="305" spans="1:1" x14ac:dyDescent="0.25">
      <c r="A305" t="str">
        <v>::gCommOutput.Array[104] AT %QW."8FLM01.0000.00I-1".EPL_FB_OUT_104_I2008_S69Out;</v>
      </c>
    </row>
    <row r="306" spans="1:1" x14ac:dyDescent="0.25">
      <c r="A306" t="str">
        <v>::gCommOutput.Array[105] AT %QW."8FLM01.0000.00I-1".EPL_FB_OUT_105_I2008_S6AOut;</v>
      </c>
    </row>
    <row r="307" spans="1:1" x14ac:dyDescent="0.25">
      <c r="A307" t="str">
        <v>::gCommOutput.Array[106] AT %QW."8FLM01.0000.00I-1".EPL_FB_OUT_106_I2008_S6BOut;</v>
      </c>
    </row>
    <row r="308" spans="1:1" x14ac:dyDescent="0.25">
      <c r="A308" t="str">
        <v>::gCommOutput.Array[107] AT %QW."8FLM01.0000.00I-1".EPL_FB_OUT_107_I2008_S6COut;</v>
      </c>
    </row>
    <row r="309" spans="1:1" x14ac:dyDescent="0.25">
      <c r="A309" t="str">
        <v>::gCommOutput.Array[108] AT %QW."8FLM01.0000.00I-1".EPL_FB_OUT_108_I2008_S6DOut;</v>
      </c>
    </row>
    <row r="310" spans="1:1" x14ac:dyDescent="0.25">
      <c r="A310" t="str">
        <v>::gCommOutput.Array[109] AT %QW."8FLM01.0000.00I-1".EPL_FB_OUT_109_I2008_S6EOut;</v>
      </c>
    </row>
    <row r="311" spans="1:1" x14ac:dyDescent="0.25">
      <c r="A311" t="str">
        <v>::gCommOutput.Array[110] AT %QW."8FLM01.0000.00I-1".EPL_FB_OUT_110_I2008_S6FOut;</v>
      </c>
    </row>
    <row r="312" spans="1:1" x14ac:dyDescent="0.25">
      <c r="A312" t="str">
        <v>::gCommOutput.Array[111] AT %QW."8FLM01.0000.00I-1".EPL_FB_OUT_111_I2008_S70Out;</v>
      </c>
    </row>
    <row r="313" spans="1:1" x14ac:dyDescent="0.25">
      <c r="A313" t="str">
        <v>::gCommOutput.Array[112] AT %QW."8FLM01.0000.00I-1".EPL_FB_OUT_112_I2008_S71Out;</v>
      </c>
    </row>
    <row r="314" spans="1:1" x14ac:dyDescent="0.25">
      <c r="A314" t="str">
        <v>::gCommOutput.Array[113] AT %QW."8FLM01.0000.00I-1".EPL_FB_OUT_113_I2008_S72Out;</v>
      </c>
    </row>
    <row r="315" spans="1:1" x14ac:dyDescent="0.25">
      <c r="A315" t="str">
        <v>::gCommOutput.Array[114] AT %QW."8FLM01.0000.00I-1".EPL_FB_OUT_114_I2008_S73Out;</v>
      </c>
    </row>
    <row r="316" spans="1:1" x14ac:dyDescent="0.25">
      <c r="A316" t="str">
        <v>::gCommOutput.Array[115] AT %QW."8FLM01.0000.00I-1".EPL_FB_OUT_115_I2008_S74Out;</v>
      </c>
    </row>
    <row r="317" spans="1:1" x14ac:dyDescent="0.25">
      <c r="A317" t="str">
        <v>::gCommOutput.Array[116] AT %QW."8FLM01.0000.00I-1".EPL_FB_OUT_116_I2008_S75Out;</v>
      </c>
    </row>
    <row r="318" spans="1:1" x14ac:dyDescent="0.25">
      <c r="A318" t="str">
        <v>::gCommOutput.Array[117] AT %QW."8FLM01.0000.00I-1".EPL_FB_OUT_117_I2008_S76Out;</v>
      </c>
    </row>
    <row r="319" spans="1:1" x14ac:dyDescent="0.25">
      <c r="A319" t="str">
        <v>::gCommOutput.Array[118] AT %QW."8FLM01.0000.00I-1".EPL_FB_OUT_118_I2008_S77Out;</v>
      </c>
    </row>
    <row r="320" spans="1:1" x14ac:dyDescent="0.25">
      <c r="A320" t="str">
        <v>::gCommOutput.Array[119] AT %QW."8FLM01.0000.00I-1".EPL_FB_OUT_119_I2008_S78Out;</v>
      </c>
    </row>
    <row r="321" spans="1:1" x14ac:dyDescent="0.25">
      <c r="A321" t="str">
        <v>::gCommOutput.Array[120] AT %QW."8FLM01.0000.00I-1".EPL_FB_OUT_120_I2008_S79Out;</v>
      </c>
    </row>
    <row r="322" spans="1:1" x14ac:dyDescent="0.25">
      <c r="A322" t="str">
        <v>::gCommOutput.Array[121] AT %QW."8FLM01.0000.00I-1".EPL_FB_OUT_121_I2008_S7AOut;</v>
      </c>
    </row>
    <row r="323" spans="1:1" x14ac:dyDescent="0.25">
      <c r="A323" t="str">
        <v>::gCommOutput.Array[122] AT %QW."8FLM01.0000.00I-1".EPL_FB_OUT_122_I2008_S7BOut;</v>
      </c>
    </row>
    <row r="324" spans="1:1" x14ac:dyDescent="0.25">
      <c r="A324" t="str">
        <v>::gCommOutput.Array[123] AT %QW."8FLM01.0000.00I-1".EPL_FB_OUT_123_I2008_S7COut;</v>
      </c>
    </row>
    <row r="325" spans="1:1" x14ac:dyDescent="0.25">
      <c r="A325" t="str">
        <v>::gCommOutput.Array[124] AT %QW."8FLM01.0000.00I-1".EPL_FB_OUT_124_I2008_S7DOut;</v>
      </c>
    </row>
    <row r="326" spans="1:1" x14ac:dyDescent="0.25">
      <c r="A326" t="str">
        <v>::gCommOutput.Array[125] AT %QW."8FLM01.0000.00I-1".EPL_FB_OUT_125_I2008_S7EOut;</v>
      </c>
    </row>
    <row r="327" spans="1:1" x14ac:dyDescent="0.25">
      <c r="A327" t="str">
        <v>::gCommOutput.Array[126] AT %QW."8FLM01.0000.00I-1".EPL_FB_OUT_126_I2008_S7FOut;</v>
      </c>
    </row>
    <row r="328" spans="1:1" x14ac:dyDescent="0.25">
      <c r="A328" t="str">
        <v>::gCommOutput.Array[127] AT %QW."8FLM01.0000.00I-1".EPL_FB_OUT_127_I2008_S80Out;</v>
      </c>
    </row>
    <row r="329" spans="1:1" x14ac:dyDescent="0.25">
      <c r="A329" t="str">
        <v>::gCommOutput.Array[128] AT %QW."8FLM01.0000.00I-1".EPL_FB_OUT_128_I2008_S81Out;</v>
      </c>
    </row>
    <row r="330" spans="1:1" x14ac:dyDescent="0.25">
      <c r="A330" t="str">
        <v>::gCommOutput.Array[129] AT %QW."8FLM01.0000.00I-1".EPL_FB_OUT_129_I2008_S82Out;</v>
      </c>
    </row>
    <row r="331" spans="1:1" x14ac:dyDescent="0.25">
      <c r="A331" t="str">
        <v>::gCommOutput.Array[130] AT %QW."8FLM01.0000.00I-1".EPL_FB_OUT_130_I2008_S83Out;</v>
      </c>
    </row>
    <row r="332" spans="1:1" x14ac:dyDescent="0.25">
      <c r="A332" t="str">
        <v>::gCommOutput.Array[131] AT %QW."8FLM01.0000.00I-1".EPL_FB_OUT_131_I2008_S84Out;</v>
      </c>
    </row>
    <row r="333" spans="1:1" x14ac:dyDescent="0.25">
      <c r="A333" t="str">
        <v>::gCommOutput.Array[132] AT %QW."8FLM01.0000.00I-1".EPL_FB_OUT_132_I2008_S85Out;</v>
      </c>
    </row>
    <row r="334" spans="1:1" x14ac:dyDescent="0.25">
      <c r="A334" t="str">
        <v>::gCommOutput.Array[133] AT %QW."8FLM01.0000.00I-1".EPL_FB_OUT_133_I2008_S86Out;</v>
      </c>
    </row>
    <row r="335" spans="1:1" x14ac:dyDescent="0.25">
      <c r="A335" t="str">
        <v>::gCommOutput.Array[134] AT %QW."8FLM01.0000.00I-1".EPL_FB_OUT_134_I2008_S87Out;</v>
      </c>
    </row>
    <row r="336" spans="1:1" x14ac:dyDescent="0.25">
      <c r="A336" t="str">
        <v>::gCommOutput.Array[135] AT %QW."8FLM01.0000.00I-1".EPL_FB_OUT_135_I2008_S88Out;</v>
      </c>
    </row>
    <row r="337" spans="1:1" x14ac:dyDescent="0.25">
      <c r="A337" t="str">
        <v>::gCommOutput.Array[136] AT %QW."8FLM01.0000.00I-1".EPL_FB_OUT_136_I2008_S89Out;</v>
      </c>
    </row>
    <row r="338" spans="1:1" x14ac:dyDescent="0.25">
      <c r="A338" t="str">
        <v>::gCommOutput.Array[137] AT %QW."8FLM01.0000.00I-1".EPL_FB_OUT_137_I2008_S8AOut;</v>
      </c>
    </row>
    <row r="339" spans="1:1" x14ac:dyDescent="0.25">
      <c r="A339" t="str">
        <v>::gCommOutput.Array[138] AT %QW."8FLM01.0000.00I-1".EPL_FB_OUT_138_I2008_S8BOut;</v>
      </c>
    </row>
    <row r="340" spans="1:1" x14ac:dyDescent="0.25">
      <c r="A340" t="str">
        <v>::gCommOutput.Array[139] AT %QW."8FLM01.0000.00I-1".EPL_FB_OUT_139_I2008_S8COut;</v>
      </c>
    </row>
    <row r="341" spans="1:1" x14ac:dyDescent="0.25">
      <c r="A341" t="str">
        <v>::gCommOutput.Array[140] AT %QW."8FLM01.0000.00I-1".EPL_FB_OUT_140_I2008_S8DOut;</v>
      </c>
    </row>
    <row r="342" spans="1:1" x14ac:dyDescent="0.25">
      <c r="A342" t="str">
        <v>::gCommOutput.Array[141] AT %QW."8FLM01.0000.00I-1".EPL_FB_OUT_141_I2008_S8EOut;</v>
      </c>
    </row>
    <row r="343" spans="1:1" x14ac:dyDescent="0.25">
      <c r="A343" t="str">
        <v>::gCommOutput.Array[142] AT %QW."8FLM01.0000.00I-1".EPL_FB_OUT_142_I2008_S8FOut;</v>
      </c>
    </row>
    <row r="344" spans="1:1" x14ac:dyDescent="0.25">
      <c r="A344" t="str">
        <v>::gCommOutput.Array[143] AT %QW."8FLM01.0000.00I-1".EPL_FB_OUT_143_I2008_S90Out;</v>
      </c>
    </row>
    <row r="345" spans="1:1" x14ac:dyDescent="0.25">
      <c r="A345" t="str">
        <v>::gCommOutput.Array[144] AT %QW."8FLM01.0000.00I-1".EPL_FB_OUT_144_I2008_S91Out;</v>
      </c>
    </row>
    <row r="346" spans="1:1" x14ac:dyDescent="0.25">
      <c r="A346" t="str">
        <v>::gCommOutput.Array[145] AT %QW."8FLM01.0000.00I-1".EPL_FB_OUT_145_I2008_S92Out;</v>
      </c>
    </row>
    <row r="347" spans="1:1" x14ac:dyDescent="0.25">
      <c r="A347" t="str">
        <v>::gCommOutput.Array[146] AT %QW."8FLM01.0000.00I-1".EPL_FB_OUT_146_I2008_S93Out;</v>
      </c>
    </row>
    <row r="348" spans="1:1" x14ac:dyDescent="0.25">
      <c r="A348" t="str">
        <v>::gCommOutput.Array[147] AT %QW."8FLM01.0000.00I-1".EPL_FB_OUT_147_I2008_S94Out;</v>
      </c>
    </row>
    <row r="349" spans="1:1" x14ac:dyDescent="0.25">
      <c r="A349" t="str">
        <v>::gCommOutput.Array[148] AT %QW."8FLM01.0000.00I-1".EPL_FB_OUT_148_I2008_S95Out;</v>
      </c>
    </row>
    <row r="350" spans="1:1" x14ac:dyDescent="0.25">
      <c r="A350" t="str">
        <v>::gCommOutput.Array[149] AT %QW."8FLM01.0000.00I-1".EPL_FB_OUT_149_I2008_S96Out;</v>
      </c>
    </row>
    <row r="351" spans="1:1" x14ac:dyDescent="0.25">
      <c r="A351" t="str">
        <v>::gCommOutput.Array[150] AT %QW."8FLM01.0000.00I-1".EPL_FB_OUT_150_I2008_S97Out;</v>
      </c>
    </row>
    <row r="352" spans="1:1" x14ac:dyDescent="0.25">
      <c r="A352" t="str">
        <v>::gCommOutput.Array[151] AT %QW."8FLM01.0000.00I-1".EPL_FB_OUT_151_I2008_S98Out;</v>
      </c>
    </row>
    <row r="353" spans="1:1" x14ac:dyDescent="0.25">
      <c r="A353" t="str">
        <v>::gCommOutput.Array[152] AT %QW."8FLM01.0000.00I-1".EPL_FB_OUT_152_I2008_S99Out;</v>
      </c>
    </row>
    <row r="354" spans="1:1" x14ac:dyDescent="0.25">
      <c r="A354" t="str">
        <v>::gCommOutput.Array[153] AT %QW."8FLM01.0000.00I-1".EPL_FB_OUT_153_I2008_S9AOut;</v>
      </c>
    </row>
    <row r="355" spans="1:1" x14ac:dyDescent="0.25">
      <c r="A355" t="str">
        <v>::gCommOutput.Array[154] AT %QW."8FLM01.0000.00I-1".EPL_FB_OUT_154_I2008_S9BOut;</v>
      </c>
    </row>
    <row r="356" spans="1:1" x14ac:dyDescent="0.25">
      <c r="A356" t="str">
        <v>::gCommOutput.Array[155] AT %QW."8FLM01.0000.00I-1".EPL_FB_OUT_155_I2008_S9COut;</v>
      </c>
    </row>
    <row r="357" spans="1:1" x14ac:dyDescent="0.25">
      <c r="A357" t="str">
        <v>::gCommOutput.Array[156] AT %QW."8FLM01.0000.00I-1".EPL_FB_OUT_156_I2008_S9DOut;</v>
      </c>
    </row>
    <row r="358" spans="1:1" x14ac:dyDescent="0.25">
      <c r="A358" t="str">
        <v>::gCommOutput.Array[157] AT %QW."8FLM01.0000.00I-1".EPL_FB_OUT_157_I2008_S9EOut;</v>
      </c>
    </row>
    <row r="359" spans="1:1" x14ac:dyDescent="0.25">
      <c r="A359" t="str">
        <v>::gCommOutput.Array[158] AT %QW."8FLM01.0000.00I-1".EPL_FB_OUT_158_I2008_S9FOut;</v>
      </c>
    </row>
    <row r="360" spans="1:1" x14ac:dyDescent="0.25">
      <c r="A360" t="str">
        <v>::gCommOutput.Array[159] AT %QW."8FLM01.0000.00I-1".EPL_FB_OUT_159_I2008_SA0Out;</v>
      </c>
    </row>
    <row r="361" spans="1:1" x14ac:dyDescent="0.25">
      <c r="A361" t="str">
        <v>::gCommOutput.Array[160] AT %QW."8FLM01.0000.00I-1".EPL_FB_OUT_160_I2008_SA1Out;</v>
      </c>
    </row>
    <row r="362" spans="1:1" x14ac:dyDescent="0.25">
      <c r="A362" t="str">
        <v>::gCommOutput.Array[161] AT %QW."8FLM01.0000.00I-1".EPL_FB_OUT_161_I2008_SA2Out;</v>
      </c>
    </row>
    <row r="363" spans="1:1" x14ac:dyDescent="0.25">
      <c r="A363" t="str">
        <v>::gCommOutput.Array[162] AT %QW."8FLM01.0000.00I-1".EPL_FB_OUT_162_I2008_SA3Out;</v>
      </c>
    </row>
    <row r="364" spans="1:1" x14ac:dyDescent="0.25">
      <c r="A364" t="str">
        <v>::gCommOutput.Array[163] AT %QW."8FLM01.0000.00I-1".EPL_FB_OUT_163_I2008_SA4Out;</v>
      </c>
    </row>
    <row r="365" spans="1:1" x14ac:dyDescent="0.25">
      <c r="A365" t="str">
        <v>::gCommOutput.Array[164] AT %QW."8FLM01.0000.00I-1".EPL_FB_OUT_164_I2008_SA5Out;</v>
      </c>
    </row>
    <row r="366" spans="1:1" x14ac:dyDescent="0.25">
      <c r="A366" t="str">
        <v>::gCommOutput.Array[165] AT %QW."8FLM01.0000.00I-1".EPL_FB_OUT_165_I2008_SA6Out;</v>
      </c>
    </row>
    <row r="367" spans="1:1" x14ac:dyDescent="0.25">
      <c r="A367" t="str">
        <v>::gCommOutput.Array[166] AT %QW."8FLM01.0000.00I-1".EPL_FB_OUT_166_I2008_SA7Out;</v>
      </c>
    </row>
    <row r="368" spans="1:1" x14ac:dyDescent="0.25">
      <c r="A368" t="str">
        <v>::gCommOutput.Array[167] AT %QW."8FLM01.0000.00I-1".EPL_FB_OUT_167_I2008_SA8Out;</v>
      </c>
    </row>
    <row r="369" spans="1:1" x14ac:dyDescent="0.25">
      <c r="A369" t="str">
        <v>::gCommOutput.Array[168] AT %QW."8FLM01.0000.00I-1".EPL_FB_OUT_168_I2008_SA9Out;</v>
      </c>
    </row>
    <row r="370" spans="1:1" x14ac:dyDescent="0.25">
      <c r="A370" t="str">
        <v>::gCommOutput.Array[169] AT %QW."8FLM01.0000.00I-1".EPL_FB_OUT_169_I2008_SAAOut;</v>
      </c>
    </row>
    <row r="371" spans="1:1" x14ac:dyDescent="0.25">
      <c r="A371" t="str">
        <v>::gCommOutput.Array[170] AT %QW."8FLM01.0000.00I-1".EPL_FB_OUT_170_I2008_SABOut;</v>
      </c>
    </row>
    <row r="372" spans="1:1" x14ac:dyDescent="0.25">
      <c r="A372" t="str">
        <v>::gCommOutput.Array[171] AT %QW."8FLM01.0000.00I-1".EPL_FB_OUT_171_I2008_SACOut;</v>
      </c>
    </row>
    <row r="373" spans="1:1" x14ac:dyDescent="0.25">
      <c r="A373" t="str">
        <v>::gCommOutput.Array[172] AT %QW."8FLM01.0000.00I-1".EPL_FB_OUT_172_I2008_SADOut;</v>
      </c>
    </row>
    <row r="374" spans="1:1" x14ac:dyDescent="0.25">
      <c r="A374" t="str">
        <v>::gCommOutput.Array[173] AT %QW."8FLM01.0000.00I-1".EPL_FB_OUT_173_I2008_SAEOut;</v>
      </c>
    </row>
    <row r="375" spans="1:1" x14ac:dyDescent="0.25">
      <c r="A375" t="str">
        <v>::gCommOutput.Array[174] AT %QW."8FLM01.0000.00I-1".EPL_FB_OUT_174_I2008_SAFOut;</v>
      </c>
    </row>
    <row r="376" spans="1:1" x14ac:dyDescent="0.25">
      <c r="A376" t="str">
        <v>::gCommOutput.Array[175] AT %QW."8FLM01.0000.00I-1".EPL_FB_OUT_175_I2008_SB0Out;</v>
      </c>
    </row>
    <row r="377" spans="1:1" x14ac:dyDescent="0.25">
      <c r="A377" t="str">
        <v>::gCommOutput.Array[176] AT %QW."8FLM01.0000.00I-1".EPL_FB_OUT_176_I2008_SB1Out;</v>
      </c>
    </row>
    <row r="378" spans="1:1" x14ac:dyDescent="0.25">
      <c r="A378" t="str">
        <v>::gCommOutput.Array[177] AT %QW."8FLM01.0000.00I-1".EPL_FB_OUT_177_I2008_SB2Out;</v>
      </c>
    </row>
    <row r="379" spans="1:1" x14ac:dyDescent="0.25">
      <c r="A379" t="str">
        <v>::gCommOutput.Array[178] AT %QW."8FLM01.0000.00I-1".EPL_FB_OUT_178_I2008_SB3Out;</v>
      </c>
    </row>
    <row r="380" spans="1:1" x14ac:dyDescent="0.25">
      <c r="A380" t="str">
        <v>::gCommOutput.Array[179] AT %QW."8FLM01.0000.00I-1".EPL_FB_OUT_179_I2008_SB4Out;</v>
      </c>
    </row>
    <row r="381" spans="1:1" x14ac:dyDescent="0.25">
      <c r="A381" t="str">
        <v>::gCommOutput.Array[180] AT %QW."8FLM01.0000.00I-1".EPL_FB_OUT_180_I2008_SB5Out;</v>
      </c>
    </row>
    <row r="382" spans="1:1" x14ac:dyDescent="0.25">
      <c r="A382" t="str">
        <v>::gCommOutput.Array[181] AT %QW."8FLM01.0000.00I-1".EPL_FB_OUT_181_I2008_SB6Out;</v>
      </c>
    </row>
    <row r="383" spans="1:1" x14ac:dyDescent="0.25">
      <c r="A383" t="str">
        <v>::gCommOutput.Array[182] AT %QW."8FLM01.0000.00I-1".EPL_FB_OUT_182_I2008_SB7Out;</v>
      </c>
    </row>
    <row r="384" spans="1:1" x14ac:dyDescent="0.25">
      <c r="A384" t="str">
        <v>::gCommOutput.Array[183] AT %QW."8FLM01.0000.00I-1".EPL_FB_OUT_183_I2008_SB8Out;</v>
      </c>
    </row>
    <row r="385" spans="1:1" x14ac:dyDescent="0.25">
      <c r="A385" t="str">
        <v>::gCommOutput.Array[184] AT %QW."8FLM01.0000.00I-1".EPL_FB_OUT_184_I2008_SB9Out;</v>
      </c>
    </row>
    <row r="386" spans="1:1" x14ac:dyDescent="0.25">
      <c r="A386" t="str">
        <v>::gCommOutput.Array[185] AT %QW."8FLM01.0000.00I-1".EPL_FB_OUT_185_I2008_SBAOut;</v>
      </c>
    </row>
    <row r="387" spans="1:1" x14ac:dyDescent="0.25">
      <c r="A387" t="str">
        <v>::gCommOutput.Array[186] AT %QW."8FLM01.0000.00I-1".EPL_FB_OUT_186_I2008_SBBOut;</v>
      </c>
    </row>
    <row r="388" spans="1:1" x14ac:dyDescent="0.25">
      <c r="A388" t="str">
        <v>::gCommOutput.Array[187] AT %QW."8FLM01.0000.00I-1".EPL_FB_OUT_187_I2008_SBCOut;</v>
      </c>
    </row>
    <row r="389" spans="1:1" x14ac:dyDescent="0.25">
      <c r="A389" t="str">
        <v>::gCommOutput.Array[188] AT %QW."8FLM01.0000.00I-1".EPL_FB_OUT_188_I2008_SBDOut;</v>
      </c>
    </row>
    <row r="390" spans="1:1" x14ac:dyDescent="0.25">
      <c r="A390" t="str">
        <v>::gCommOutput.Array[189] AT %QW."8FLM01.0000.00I-1".EPL_FB_OUT_189_I2008_SBEOut;</v>
      </c>
    </row>
    <row r="391" spans="1:1" x14ac:dyDescent="0.25">
      <c r="A391" t="str">
        <v>::gCommOutput.Array[190] AT %QW."8FLM01.0000.00I-1".EPL_FB_OUT_190_I2008_SBFOut;</v>
      </c>
    </row>
    <row r="392" spans="1:1" x14ac:dyDescent="0.25">
      <c r="A392" t="str">
        <v>::gCommOutput.Array[191] AT %QW."8FLM01.0000.00I-1".EPL_FB_OUT_191_I2008_SC0Out;</v>
      </c>
    </row>
    <row r="393" spans="1:1" x14ac:dyDescent="0.25">
      <c r="A393" t="str">
        <v>::gCommOutput.Array[192] AT %QW."8FLM01.0000.00I-1".EPL_FB_OUT_192_I2008_SC1Out;</v>
      </c>
    </row>
    <row r="394" spans="1:1" x14ac:dyDescent="0.25">
      <c r="A394" t="str">
        <v>::gCommOutput.Array[193] AT %QW."8FLM01.0000.00I-1".EPL_FB_OUT_193_I2008_SC2Out;</v>
      </c>
    </row>
    <row r="395" spans="1:1" x14ac:dyDescent="0.25">
      <c r="A395" t="str">
        <v>::gCommOutput.Array[194] AT %QW."8FLM01.0000.00I-1".EPL_FB_OUT_194_I2008_SC3Out;</v>
      </c>
    </row>
    <row r="396" spans="1:1" x14ac:dyDescent="0.25">
      <c r="A396" t="str">
        <v>::gCommOutput.Array[195] AT %QW."8FLM01.0000.00I-1".EPL_FB_OUT_195_I2008_SC4Out;</v>
      </c>
    </row>
    <row r="397" spans="1:1" x14ac:dyDescent="0.25">
      <c r="A397" t="str">
        <v>::gCommOutput.Array[196] AT %QW."8FLM01.0000.00I-1".EPL_FB_OUT_196_I2008_SC5Out;</v>
      </c>
    </row>
    <row r="398" spans="1:1" x14ac:dyDescent="0.25">
      <c r="A398" t="str">
        <v>::gCommOutput.Array[197] AT %QW."8FLM01.0000.00I-1".EPL_FB_OUT_197_I2008_SC6Out;</v>
      </c>
    </row>
    <row r="399" spans="1:1" x14ac:dyDescent="0.25">
      <c r="A399" t="str">
        <v>::gCommOutput.Array[198] AT %QW."8FLM01.0000.00I-1".EPL_FB_OUT_198_I2008_SC7Out;</v>
      </c>
    </row>
    <row r="400" spans="1:1" x14ac:dyDescent="0.25">
      <c r="A400" t="str">
        <v>::gCommOutput.Array[199] AT %QW."8FLM01.0000.00I-1".EPL_FB_OUT_199_I2008_SC8Out;</v>
      </c>
    </row>
  </sheetData>
  <sheetProtection algorithmName="SHA-512" hashValue="2PqyXQzIdVf94rmM+kP1wJmgjY2NybxL7e/ewXW4P/Kzrl4rXnNXEsCPWCdupuMXl5bZ1Gw04glRJWt1hz66RA==" saltValue="swzpr6/gYinVa3sYRCjp5A==" spinCount="100000" sheet="1" objects="1" scenarios="1"/>
  <pageMargins left="0.7" right="0.7" top="0.78740157499999996" bottom="0.78740157499999996" header="0.3" footer="0.3"/>
  <headerFooter>
    <oddHeader>&amp;R&amp;"Calibri"&amp;11&amp;K000000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22</vt:i4>
      </vt:variant>
    </vt:vector>
  </HeadingPairs>
  <TitlesOfParts>
    <vt:vector size="27" baseType="lpstr">
      <vt:lpstr>UserInput</vt:lpstr>
      <vt:lpstr>InternalConfig</vt:lpstr>
      <vt:lpstr>Input_Part</vt:lpstr>
      <vt:lpstr>Output_Part</vt:lpstr>
      <vt:lpstr>Result</vt:lpstr>
      <vt:lpstr>AT</vt:lpstr>
      <vt:lpstr>Bracket_close</vt:lpstr>
      <vt:lpstr>Bracket_open</vt:lpstr>
      <vt:lpstr>Dot</vt:lpstr>
      <vt:lpstr>Dot_2</vt:lpstr>
      <vt:lpstr>DoubleDot</vt:lpstr>
      <vt:lpstr>Input_name</vt:lpstr>
      <vt:lpstr>Input_sign</vt:lpstr>
      <vt:lpstr>Input_syntax</vt:lpstr>
      <vt:lpstr>InputVarName</vt:lpstr>
      <vt:lpstr>Module_name</vt:lpstr>
      <vt:lpstr>Module_name_2</vt:lpstr>
      <vt:lpstr>NameInput</vt:lpstr>
      <vt:lpstr>NameModule</vt:lpstr>
      <vt:lpstr>NameOutput</vt:lpstr>
      <vt:lpstr>Output_name</vt:lpstr>
      <vt:lpstr>Output_sign</vt:lpstr>
      <vt:lpstr>Output_word</vt:lpstr>
      <vt:lpstr>OutputVarName</vt:lpstr>
      <vt:lpstr>SemiColon</vt:lpstr>
      <vt:lpstr>Sign_input</vt:lpstr>
      <vt:lpstr>Sign_output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Schnoell Leonhard</dc:creator>
  <cp:lastModifiedBy>Wael Mohammed (TAU)</cp:lastModifiedBy>
  <dcterms:created xsi:type="dcterms:W3CDTF">2021-10-22T12:44:24Z</dcterms:created>
  <dcterms:modified xsi:type="dcterms:W3CDTF">2025-06-11T14:19:29Z</dcterms:modified>
</cp:coreProperties>
</file>